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branthonycc/Downloads/"/>
    </mc:Choice>
  </mc:AlternateContent>
  <xr:revisionPtr revIDLastSave="0" documentId="8_{73E8DBB2-0652-E543-BEAE-10379D709781}" xr6:coauthVersionLast="47" xr6:coauthVersionMax="47" xr10:uidLastSave="{00000000-0000-0000-0000-000000000000}"/>
  <bookViews>
    <workbookView xWindow="0" yWindow="780" windowWidth="36000" windowHeight="22600" tabRatio="500" xr2:uid="{00000000-000D-0000-FFFF-FFFF00000000}"/>
  </bookViews>
  <sheets>
    <sheet name="Guia de Uso" sheetId="1" r:id="rId1"/>
    <sheet name="1. Datos_Crudos" sheetId="2" r:id="rId2"/>
    <sheet name="2. Factorial" sheetId="3" r:id="rId3"/>
    <sheet name="3. Fibonacci" sheetId="4" r:id="rId4"/>
    <sheet name="4. Busqueda Lineal" sheetId="5" r:id="rId5"/>
    <sheet name="5. Burbuja" sheetId="6" r:id="rId6"/>
    <sheet name="6. Conclusione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" i="4" l="1"/>
  <c r="C5" i="4"/>
  <c r="J49" i="2"/>
  <c r="D9" i="6" s="1"/>
  <c r="J48" i="2"/>
  <c r="D8" i="6" s="1"/>
  <c r="J47" i="2"/>
  <c r="D7" i="6" s="1"/>
  <c r="J46" i="2"/>
  <c r="D6" i="6" s="1"/>
  <c r="J45" i="2"/>
  <c r="D5" i="6" s="1"/>
  <c r="J44" i="2"/>
  <c r="C9" i="6" s="1"/>
  <c r="J43" i="2"/>
  <c r="C8" i="6" s="1"/>
  <c r="J42" i="2"/>
  <c r="C7" i="6" s="1"/>
  <c r="J41" i="2"/>
  <c r="C6" i="6" s="1"/>
  <c r="J40" i="2"/>
  <c r="C5" i="6" s="1"/>
  <c r="J38" i="2"/>
  <c r="D9" i="5" s="1"/>
  <c r="J37" i="2"/>
  <c r="D8" i="5" s="1"/>
  <c r="J36" i="2"/>
  <c r="D7" i="5" s="1"/>
  <c r="J35" i="2"/>
  <c r="D6" i="5" s="1"/>
  <c r="J34" i="2"/>
  <c r="D5" i="5" s="1"/>
  <c r="J33" i="2"/>
  <c r="C9" i="5" s="1"/>
  <c r="J32" i="2"/>
  <c r="C8" i="5" s="1"/>
  <c r="J31" i="2"/>
  <c r="C7" i="5" s="1"/>
  <c r="J30" i="2"/>
  <c r="C6" i="5" s="1"/>
  <c r="J29" i="2"/>
  <c r="C5" i="5" s="1"/>
  <c r="J27" i="2"/>
  <c r="D10" i="4" s="1"/>
  <c r="J26" i="2"/>
  <c r="D9" i="4" s="1"/>
  <c r="J25" i="2"/>
  <c r="D8" i="4" s="1"/>
  <c r="J24" i="2"/>
  <c r="D7" i="4" s="1"/>
  <c r="J23" i="2"/>
  <c r="J22" i="2"/>
  <c r="D5" i="4" s="1"/>
  <c r="J21" i="2"/>
  <c r="C10" i="4" s="1"/>
  <c r="J20" i="2"/>
  <c r="C9" i="4" s="1"/>
  <c r="J19" i="2"/>
  <c r="C8" i="4" s="1"/>
  <c r="J18" i="2"/>
  <c r="C7" i="4" s="1"/>
  <c r="J17" i="2"/>
  <c r="C6" i="4" s="1"/>
  <c r="J16" i="2"/>
  <c r="J14" i="2"/>
  <c r="D10" i="3" s="1"/>
  <c r="J13" i="2"/>
  <c r="D9" i="3" s="1"/>
  <c r="J12" i="2"/>
  <c r="D8" i="3" s="1"/>
  <c r="J11" i="2"/>
  <c r="D7" i="3" s="1"/>
  <c r="J10" i="2"/>
  <c r="D6" i="3" s="1"/>
  <c r="J9" i="2"/>
  <c r="D5" i="3" s="1"/>
  <c r="J8" i="2"/>
  <c r="C10" i="3" s="1"/>
  <c r="J7" i="2"/>
  <c r="C9" i="3" s="1"/>
  <c r="J6" i="2"/>
  <c r="C8" i="3" s="1"/>
  <c r="J5" i="2"/>
  <c r="C7" i="3" s="1"/>
  <c r="J4" i="2"/>
  <c r="C6" i="3" s="1"/>
  <c r="J3" i="2"/>
  <c r="C5" i="3" s="1"/>
</calcChain>
</file>

<file path=xl/sharedStrings.xml><?xml version="1.0" encoding="utf-8"?>
<sst xmlns="http://schemas.openxmlformats.org/spreadsheetml/2006/main" count="201" uniqueCount="67">
  <si>
    <t>GUIA DE USO — Ejemplo de Registro de Tiempos de Ejecucion</t>
  </si>
  <si>
    <t>Estructura de Datos | Ing. Brandon Chitay | Universidad Da Vinci de Guatemala</t>
  </si>
  <si>
    <t>PROPOSITO DEL ARCHIVO</t>
  </si>
  <si>
    <t>Este archivo te muestra EXACTAMENTE como registrar tus tiempos, calcular promedios y generar las graficas. Los datos de muestra son ficticios (realistas pero inventados). Reemplazalos con los tiempos reales que obtengas al ejecutar tus algoritmos en Java.</t>
  </si>
  <si>
    <t>ESTRUCTURA DEL LIBRO</t>
  </si>
  <si>
    <t>1. Datos_Crudos — tabla con las 5 ejecuciones y el promedio por algoritmo
2. Factorial — comparativa iterativo vs recursivo + grafica
3. Fibonacci — comparativa + grafica (ven la diferencia exponencial!)
4. Busqueda_Lineal — comparativa + grafica
5. Burbuja — comparativa + grafica
6. Conclusiones — tabla de Big-O experimental vs teorico</t>
  </si>
  <si>
    <t>CODIGO DE COLORES</t>
  </si>
  <si>
    <t>Fondo AMARILLO → Celdas que TU debes rellenar con tus mediciones reales
Fondo VERDE → Formula automatica (promedio), NO la edites
Fondo AZUL → Encabezado, no modificar
Fondo GRIS → Dato de referencia calculado automaticamente</t>
  </si>
  <si>
    <t>COMO MEDIR EN JAVA</t>
  </si>
  <si>
    <t>long inicio  = System.nanoTime();
// ... tu algoritmo aqui ...
long fin     = System.nanoTime();
double ms    = (fin - inicio) / 1_000_000.0;
Repite 5 veces y registra cada resultado en las columnas Ej.1 a Ej.5.</t>
  </si>
  <si>
    <t>COMO CREAR LA GRAFICA</t>
  </si>
  <si>
    <t>1. Selecciona las columnas n, Iterativo y Recursivo de la hoja comparativa
2. Insertar → Grafico → Dispersion con lineas y marcadores
3. Agrega titulo: '[Algoritmo]: Iterativo vs Recursivo'
4. Eje X: Tamano (n)  |  Eje Y: Tiempo (ms)
5. Clic derecho en cada serie → Agregar linea de tendencia</t>
  </si>
  <si>
    <t>PREGUNTAS CLAVE</t>
  </si>
  <si>
    <t>Fibonacci: ¿por que el recursivo es tan mas lento que el iterativo?
Burbuja: ¿cuanto aumenta el tiempo al duplicar n? (pista: 4x)
¿Cual algoritmo es el mas rapido? ¿El mas lento?
¿Vale la pena la elegancia del codigo recursivo para Fibonacci?</t>
  </si>
  <si>
    <t>HOJA 1 — Datos Crudos | Tiempos de Ejecucion (ms)</t>
  </si>
  <si>
    <t>Algoritmo</t>
  </si>
  <si>
    <t>Version</t>
  </si>
  <si>
    <t>n</t>
  </si>
  <si>
    <t>Ej. 1 (ms)</t>
  </si>
  <si>
    <t>Ej. 2 (ms)</t>
  </si>
  <si>
    <t>Ej. 3 (ms)</t>
  </si>
  <si>
    <t>Ej. 4 (ms)</t>
  </si>
  <si>
    <t>Ej. 5 (ms)</t>
  </si>
  <si>
    <t>PROMEDIO (ms)</t>
  </si>
  <si>
    <t>A1 - Factorial</t>
  </si>
  <si>
    <t>Iterativo</t>
  </si>
  <si>
    <t>Recursivo</t>
  </si>
  <si>
    <t>A2 - Fibonacci</t>
  </si>
  <si>
    <t>A3 - Busqueda Lineal</t>
  </si>
  <si>
    <t>A4 - Burbuja</t>
  </si>
  <si>
    <t>Leyenda:  Fondo AMARILLO = ingresa tu medicion real  |  Fondo VERDE = promedio automatico (no editar)  |  Fondo NARANJA = version recursiva</t>
  </si>
  <si>
    <t>HOJA — A1 - Factorial | Iterativo vs. Recursivo</t>
  </si>
  <si>
    <t>Big-O Iterativo:</t>
  </si>
  <si>
    <t>O(n)</t>
  </si>
  <si>
    <t>Big-O Recursivo:  O(n)</t>
  </si>
  <si>
    <t>Iterativo
(O(n))</t>
  </si>
  <si>
    <t>Recursivo
(O(n))</t>
  </si>
  <si>
    <t>Observacion:  Ambas versiones son O(n): el tiempo crece linealmente con n.</t>
  </si>
  <si>
    <t>HOJA — A2 - Fibonacci | Iterativo vs. Recursivo</t>
  </si>
  <si>
    <t>Big-O Recursivo:  O(2^n)</t>
  </si>
  <si>
    <t>Recursivo
(O(2^n))</t>
  </si>
  <si>
    <t>Observacion:  Recursivo crece exponencialmente: duplicar n casi cuadriplica el tiempo.</t>
  </si>
  <si>
    <t>HOJA — A3 - Busqueda Lineal | Iterativo vs. Recursivo</t>
  </si>
  <si>
    <t>Observacion:  Ambas O(n): al multiplicar n x10, el tiempo tambien x10 aprox.</t>
  </si>
  <si>
    <t>HOJA — A4 - Burbuja | Iterativo vs. Recursivo</t>
  </si>
  <si>
    <t>O(n^2)</t>
  </si>
  <si>
    <t>Big-O Recursivo:  O(n^2)</t>
  </si>
  <si>
    <t>Iterativo
(O(n^2))</t>
  </si>
  <si>
    <t>Recursivo
(O(n^2))</t>
  </si>
  <si>
    <t>Observacion:  Ambas O(n^2): al x10 n, el tiempo aumenta aprox x100.</t>
  </si>
  <si>
    <t>HOJA 6 — Conclusiones | Big-O Experimental vs. Teorico</t>
  </si>
  <si>
    <t>Big-O Experimental
(de tu grafica)</t>
  </si>
  <si>
    <t>Big-O Teorico</t>
  </si>
  <si>
    <t>Coincide?</t>
  </si>
  <si>
    <t>Justificacion breve</t>
  </si>
  <si>
    <t>(escribe aqui)</t>
  </si>
  <si>
    <t>Si / No</t>
  </si>
  <si>
    <t>O(2^n)</t>
  </si>
  <si>
    <t>Guia para interpretar tus graficas:</t>
  </si>
  <si>
    <t>Linea recta en grafica</t>
  </si>
  <si>
    <t>→  Big-O es probablemente O(1) o O(n)</t>
  </si>
  <si>
    <t>Curva suave ascendente</t>
  </si>
  <si>
    <t>→  Big-O es probablemente O(n) o O(log n)</t>
  </si>
  <si>
    <t>Curva que sube rapido</t>
  </si>
  <si>
    <t>→  Big-O es probablemente O(n^2)</t>
  </si>
  <si>
    <t>Curva que explota (vertical)</t>
  </si>
  <si>
    <t>→  Big-O es probablemente O(2^n)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</si>
</sst>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2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A48029"/>
      <name val="Arial"/>
      <charset val="1"/>
    </font>
    <font>
      <b/>
      <sz val="10"/>
      <color rgb="FFFFFFFF"/>
      <name val="Arial"/>
      <charset val="1"/>
    </font>
    <font>
      <sz val="10"/>
      <color rgb="FF333333"/>
      <name val="Arial"/>
      <charset val="1"/>
    </font>
    <font>
      <sz val="10"/>
      <color rgb="FF333333"/>
      <name val="Courier New"/>
      <charset val="1"/>
    </font>
    <font>
      <b/>
      <sz val="13"/>
      <color rgb="FFFFFFFF"/>
      <name val="Arial"/>
      <charset val="1"/>
    </font>
    <font>
      <b/>
      <sz val="9"/>
      <color rgb="FF1B3A6B"/>
      <name val="Arial"/>
      <charset val="1"/>
    </font>
    <font>
      <sz val="9"/>
      <color rgb="FF555555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i/>
      <sz val="9"/>
      <color rgb="FF666666"/>
      <name val="Arial"/>
      <charset val="1"/>
    </font>
    <font>
      <b/>
      <sz val="11"/>
      <color rgb="FF1B3A6B"/>
      <name val="Arial"/>
      <charset val="1"/>
    </font>
    <font>
      <b/>
      <sz val="10"/>
      <color rgb="FF000000"/>
      <name val="Arial"/>
      <charset val="1"/>
    </font>
    <font>
      <sz val="10"/>
      <color rgb="FF1B3A6B"/>
      <name val="Arial"/>
      <charset val="1"/>
    </font>
    <font>
      <sz val="10"/>
      <color rgb="FFA48029"/>
      <name val="Arial"/>
      <charset val="1"/>
    </font>
    <font>
      <i/>
      <sz val="9"/>
      <color rgb="FF333333"/>
      <name val="Arial"/>
      <charset val="1"/>
    </font>
    <font>
      <b/>
      <sz val="11"/>
      <color rgb="FF8B0000"/>
      <name val="Arial"/>
      <charset val="1"/>
    </font>
    <font>
      <sz val="10"/>
      <color rgb="FF8B0000"/>
      <name val="Arial"/>
      <charset val="1"/>
    </font>
    <font>
      <b/>
      <sz val="9"/>
      <color rgb="FFFFFFFF"/>
      <name val="Arial"/>
      <charset val="1"/>
    </font>
    <font>
      <sz val="9"/>
      <color rgb="FF444444"/>
      <name val="Arial"/>
      <charset val="1"/>
    </font>
    <font>
      <b/>
      <sz val="9"/>
      <color rgb="FFAA0000"/>
      <name val="Arial"/>
      <charset val="1"/>
    </font>
    <font>
      <b/>
      <sz val="9"/>
      <color rgb="FF007700"/>
      <name val="Arial"/>
      <charset val="1"/>
    </font>
    <font>
      <sz val="9"/>
      <color rgb="FF333333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6B"/>
        <bgColor rgb="FF1E3F6E"/>
      </patternFill>
    </fill>
    <fill>
      <patternFill patternType="solid">
        <fgColor rgb="FF1E3F6E"/>
        <bgColor rgb="FF1B3A6B"/>
      </patternFill>
    </fill>
    <fill>
      <patternFill patternType="solid">
        <fgColor rgb="FFE8EFF8"/>
        <bgColor rgb="FFE8F5E9"/>
      </patternFill>
    </fill>
    <fill>
      <patternFill patternType="solid">
        <fgColor rgb="FFF5F5F5"/>
        <bgColor rgb="FFFAFAFA"/>
      </patternFill>
    </fill>
    <fill>
      <patternFill patternType="solid">
        <fgColor rgb="FFA48029"/>
        <bgColor rgb="FF878787"/>
      </patternFill>
    </fill>
    <fill>
      <patternFill patternType="solid">
        <fgColor rgb="FFFFFDE7"/>
        <bgColor rgb="FFFAFAFA"/>
      </patternFill>
    </fill>
    <fill>
      <patternFill patternType="solid">
        <fgColor rgb="FFE8F5E9"/>
        <bgColor rgb="FFE8EFF8"/>
      </patternFill>
    </fill>
    <fill>
      <patternFill patternType="solid">
        <fgColor rgb="FFFFFFFF"/>
        <bgColor rgb="FFFAFAFA"/>
      </patternFill>
    </fill>
    <fill>
      <patternFill patternType="solid">
        <fgColor rgb="FFFFF3E0"/>
        <bgColor rgb="FFFFEBEE"/>
      </patternFill>
    </fill>
    <fill>
      <patternFill patternType="solid">
        <fgColor rgb="FFFAFAFA"/>
        <bgColor rgb="FFFFFFFF"/>
      </patternFill>
    </fill>
    <fill>
      <patternFill patternType="solid">
        <fgColor rgb="FFFFEBEE"/>
        <bgColor rgb="FFFFF3E0"/>
      </patternFill>
    </fill>
  </fills>
  <borders count="4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3" fillId="12" borderId="1" xfId="0" applyFont="1" applyFill="1" applyBorder="1" applyAlignment="1">
      <alignment horizontal="left" vertical="center" wrapText="1"/>
    </xf>
    <xf numFmtId="0" fontId="23" fillId="9" borderId="1" xfId="0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1" fillId="11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164" fontId="14" fillId="4" borderId="3" xfId="0" applyNumberFormat="1" applyFont="1" applyFill="1" applyBorder="1" applyAlignment="1">
      <alignment horizontal="center" vertical="center" wrapText="1"/>
    </xf>
    <xf numFmtId="164" fontId="15" fillId="4" borderId="3" xfId="0" applyNumberFormat="1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164" fontId="14" fillId="9" borderId="3" xfId="0" applyNumberFormat="1" applyFont="1" applyFill="1" applyBorder="1" applyAlignment="1">
      <alignment horizontal="center" vertical="center" wrapText="1"/>
    </xf>
    <xf numFmtId="164" fontId="15" fillId="9" borderId="3" xfId="0" applyNumberFormat="1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164" fontId="18" fillId="4" borderId="3" xfId="0" applyNumberFormat="1" applyFont="1" applyFill="1" applyBorder="1" applyAlignment="1">
      <alignment horizontal="center" vertical="center" wrapText="1"/>
    </xf>
    <xf numFmtId="164" fontId="18" fillId="9" borderId="3" xfId="0" applyNumberFormat="1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7700"/>
      <rgbColor rgb="FF000080"/>
      <rgbColor rgb="FFA48029"/>
      <rgbColor rgb="FF800080"/>
      <rgbColor rgb="FF008080"/>
      <rgbColor rgb="FFCCCCCC"/>
      <rgbColor rgb="FF878787"/>
      <rgbColor rgb="FF9999FF"/>
      <rgbColor rgb="FF555555"/>
      <rgbColor rgb="FFFFFDE7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AA0000"/>
      <rgbColor rgb="FF008080"/>
      <rgbColor rgb="FF0000FF"/>
      <rgbColor rgb="FF00CCFF"/>
      <rgbColor rgb="FFE8EFF8"/>
      <rgbColor rgb="FFF5F5F5"/>
      <rgbColor rgb="FFFFF3E0"/>
      <rgbColor rgb="FFFAFAFA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6B"/>
      <rgbColor rgb="FF339966"/>
      <rgbColor rgb="FF003300"/>
      <rgbColor rgb="FF444444"/>
      <rgbColor rgb="FFC0392B"/>
      <rgbColor rgb="FF993366"/>
      <rgbColor rgb="FF1E3F6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Factorial: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Factorial'!$C$4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Factorial'!$C$5:$C$10</c:f>
              <c:numCache>
                <c:formatCode>#,##0.000000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7D-E447-9AC9-C260900E5258}"/>
            </c:ext>
          </c:extLst>
        </c:ser>
        <c:ser>
          <c:idx val="1"/>
          <c:order val="1"/>
          <c:tx>
            <c:strRef>
              <c:f>'2. Factorial'!$D$4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Factorial'!$D$5:$D$10</c:f>
              <c:numCache>
                <c:formatCode>#,##0.000000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7D-E447-9AC9-C260900E5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494455"/>
        <c:axId val="39892230"/>
      </c:lineChart>
      <c:catAx>
        <c:axId val="454944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39892230"/>
        <c:crosses val="autoZero"/>
        <c:auto val="1"/>
        <c:lblAlgn val="ctr"/>
        <c:lblOffset val="100"/>
        <c:noMultiLvlLbl val="0"/>
      </c:catAx>
      <c:valAx>
        <c:axId val="398922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454944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Fibonacci: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 Fibonacci'!$C$4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Fibonacci'!$C$5:$C$10</c:f>
              <c:numCache>
                <c:formatCode>#,##0.000000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89-AD4B-90C6-422BA3BDE0D3}"/>
            </c:ext>
          </c:extLst>
        </c:ser>
        <c:ser>
          <c:idx val="1"/>
          <c:order val="1"/>
          <c:tx>
            <c:strRef>
              <c:f>'3. Fibonacci'!$D$4</c:f>
              <c:strCache>
                <c:ptCount val="1"/>
                <c:pt idx="0">
                  <c:v>Recursivo
(O(2^n))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Fibonacci'!$D$5:$D$10</c:f>
              <c:numCache>
                <c:formatCode>#,##0.000000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89-AD4B-90C6-422BA3BDE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8528611"/>
        <c:axId val="59467831"/>
      </c:lineChart>
      <c:catAx>
        <c:axId val="185286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59467831"/>
        <c:crosses val="autoZero"/>
        <c:auto val="1"/>
        <c:lblAlgn val="ctr"/>
        <c:lblOffset val="100"/>
        <c:noMultiLvlLbl val="0"/>
      </c:catAx>
      <c:valAx>
        <c:axId val="59467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185286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Busqueda Lineal: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 Busqueda Lineal'!$C$4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Lineal'!$C$5:$C$9</c:f>
              <c:numCache>
                <c:formatCode>#,##0.000000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96-1E4D-B75D-F777358E9A55}"/>
            </c:ext>
          </c:extLst>
        </c:ser>
        <c:ser>
          <c:idx val="1"/>
          <c:order val="1"/>
          <c:tx>
            <c:strRef>
              <c:f>'4. Busqueda Lineal'!$D$4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Lineal'!$D$5:$D$9</c:f>
              <c:numCache>
                <c:formatCode>#,##0.000000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96-1E4D-B75D-F777358E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784547"/>
        <c:axId val="22378713"/>
      </c:lineChart>
      <c:catAx>
        <c:axId val="91784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22378713"/>
        <c:crosses val="autoZero"/>
        <c:auto val="1"/>
        <c:lblAlgn val="ctr"/>
        <c:lblOffset val="100"/>
        <c:noMultiLvlLbl val="0"/>
      </c:catAx>
      <c:valAx>
        <c:axId val="223787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917845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Burbuja: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 Burbuja'!$C$4</c:f>
              <c:strCache>
                <c:ptCount val="1"/>
                <c:pt idx="0">
                  <c:v>Iterativo
(O(n^2))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Burbuja'!$C$5:$C$9</c:f>
              <c:numCache>
                <c:formatCode>#,##0.000000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3E-C142-A1DC-71DCAAB9F93B}"/>
            </c:ext>
          </c:extLst>
        </c:ser>
        <c:ser>
          <c:idx val="1"/>
          <c:order val="1"/>
          <c:tx>
            <c:strRef>
              <c:f>'5. Burbuja'!$D$4</c:f>
              <c:strCache>
                <c:ptCount val="1"/>
                <c:pt idx="0">
                  <c:v>Recursivo
(O(n^2))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Burbuja'!$D$5:$D$9</c:f>
              <c:numCache>
                <c:formatCode>#,##0.000000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3E-C142-A1DC-71DCAAB9F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1551171"/>
        <c:axId val="96248341"/>
      </c:lineChart>
      <c:catAx>
        <c:axId val="115511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96248341"/>
        <c:crosses val="autoZero"/>
        <c:auto val="1"/>
        <c:lblAlgn val="ctr"/>
        <c:lblOffset val="100"/>
        <c:noMultiLvlLbl val="0"/>
      </c:catAx>
      <c:valAx>
        <c:axId val="962483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115511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"/>
  <sheetViews>
    <sheetView showGridLines="0" tabSelected="1" zoomScaleNormal="100" workbookViewId="0"/>
  </sheetViews>
  <sheetFormatPr baseColWidth="10" defaultColWidth="8.6640625" defaultRowHeight="15" customHeight="1" x14ac:dyDescent="0.2"/>
  <cols>
    <col min="1" max="1" width="3" customWidth="1"/>
    <col min="2" max="2" width="28" customWidth="1"/>
    <col min="3" max="3" width="60" customWidth="1"/>
    <col min="4" max="4" width="20" customWidth="1"/>
  </cols>
  <sheetData>
    <row r="1" spans="2:4" ht="6" customHeight="1" x14ac:dyDescent="0.2"/>
    <row r="2" spans="2:4" ht="36" customHeight="1" x14ac:dyDescent="0.2">
      <c r="B2" s="14" t="s">
        <v>0</v>
      </c>
      <c r="C2" s="14"/>
      <c r="D2" s="14"/>
    </row>
    <row r="3" spans="2:4" ht="21.75" customHeight="1" x14ac:dyDescent="0.2">
      <c r="B3" s="13" t="s">
        <v>1</v>
      </c>
      <c r="C3" s="13"/>
      <c r="D3" s="13"/>
    </row>
    <row r="4" spans="2:4" ht="9.75" customHeight="1" x14ac:dyDescent="0.2"/>
    <row r="5" spans="2:4" ht="27.75" customHeight="1" x14ac:dyDescent="0.2">
      <c r="B5" s="12" t="s">
        <v>2</v>
      </c>
      <c r="C5" s="11" t="s">
        <v>3</v>
      </c>
      <c r="D5" s="11"/>
    </row>
    <row r="6" spans="2:4" ht="60" customHeight="1" x14ac:dyDescent="0.2">
      <c r="B6" s="12"/>
      <c r="C6" s="10"/>
      <c r="D6" s="10"/>
    </row>
    <row r="7" spans="2:4" ht="6" customHeight="1" x14ac:dyDescent="0.2"/>
    <row r="8" spans="2:4" ht="27.75" customHeight="1" x14ac:dyDescent="0.2">
      <c r="B8" s="12" t="s">
        <v>4</v>
      </c>
      <c r="C8" s="9" t="s">
        <v>5</v>
      </c>
      <c r="D8" s="9"/>
    </row>
    <row r="9" spans="2:4" ht="117.75" customHeight="1" x14ac:dyDescent="0.2">
      <c r="B9" s="12"/>
      <c r="C9" s="10"/>
      <c r="D9" s="10"/>
    </row>
    <row r="10" spans="2:4" ht="6" customHeight="1" x14ac:dyDescent="0.2"/>
    <row r="11" spans="2:4" ht="27.75" customHeight="1" x14ac:dyDescent="0.2">
      <c r="B11" s="12" t="s">
        <v>6</v>
      </c>
      <c r="C11" s="9" t="s">
        <v>7</v>
      </c>
      <c r="D11" s="9"/>
    </row>
    <row r="12" spans="2:4" ht="81.75" customHeight="1" x14ac:dyDescent="0.2">
      <c r="B12" s="12"/>
      <c r="C12" s="10"/>
      <c r="D12" s="10"/>
    </row>
    <row r="13" spans="2:4" ht="6" customHeight="1" x14ac:dyDescent="0.2"/>
    <row r="14" spans="2:4" ht="27.75" customHeight="1" x14ac:dyDescent="0.2">
      <c r="B14" s="12" t="s">
        <v>8</v>
      </c>
      <c r="C14" s="8" t="s">
        <v>9</v>
      </c>
      <c r="D14" s="8"/>
    </row>
    <row r="15" spans="2:4" ht="99.75" customHeight="1" x14ac:dyDescent="0.2">
      <c r="B15" s="12"/>
      <c r="C15" s="10"/>
      <c r="D15" s="10"/>
    </row>
    <row r="16" spans="2:4" ht="6" customHeight="1" x14ac:dyDescent="0.2"/>
    <row r="17" spans="2:4" ht="27.75" customHeight="1" x14ac:dyDescent="0.2">
      <c r="B17" s="12" t="s">
        <v>10</v>
      </c>
      <c r="C17" s="11" t="s">
        <v>11</v>
      </c>
      <c r="D17" s="11"/>
    </row>
    <row r="18" spans="2:4" ht="99.75" customHeight="1" x14ac:dyDescent="0.2">
      <c r="B18" s="12"/>
      <c r="C18" s="10"/>
      <c r="D18" s="10"/>
    </row>
    <row r="19" spans="2:4" ht="6" customHeight="1" x14ac:dyDescent="0.2"/>
    <row r="20" spans="2:4" ht="27.75" customHeight="1" x14ac:dyDescent="0.2">
      <c r="B20" s="12" t="s">
        <v>12</v>
      </c>
      <c r="C20" s="9" t="s">
        <v>13</v>
      </c>
      <c r="D20" s="9"/>
    </row>
    <row r="21" spans="2:4" ht="81.75" customHeight="1" x14ac:dyDescent="0.2">
      <c r="B21" s="12"/>
      <c r="C21" s="10"/>
      <c r="D21" s="10"/>
    </row>
    <row r="22" spans="2:4" ht="6" customHeight="1" x14ac:dyDescent="0.2"/>
  </sheetData>
  <mergeCells count="20">
    <mergeCell ref="B20:B21"/>
    <mergeCell ref="C20:D20"/>
    <mergeCell ref="C21:D21"/>
    <mergeCell ref="B14:B15"/>
    <mergeCell ref="C14:D14"/>
    <mergeCell ref="C15:D15"/>
    <mergeCell ref="B17:B18"/>
    <mergeCell ref="C17:D17"/>
    <mergeCell ref="C18:D18"/>
    <mergeCell ref="B8:B9"/>
    <mergeCell ref="C8:D8"/>
    <mergeCell ref="C9:D9"/>
    <mergeCell ref="B11:B12"/>
    <mergeCell ref="C11:D11"/>
    <mergeCell ref="C12:D12"/>
    <mergeCell ref="B2:D2"/>
    <mergeCell ref="B3:D3"/>
    <mergeCell ref="B5:B6"/>
    <mergeCell ref="C5:D5"/>
    <mergeCell ref="C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2"/>
  <sheetViews>
    <sheetView showGridLines="0" zoomScaleNormal="100" workbookViewId="0">
      <pane ySplit="2" topLeftCell="A3" activePane="bottomLeft" state="frozen"/>
      <selection pane="bottomLeft" activeCell="N40" sqref="N40"/>
    </sheetView>
  </sheetViews>
  <sheetFormatPr baseColWidth="10" defaultColWidth="8.6640625" defaultRowHeight="15" customHeight="1" x14ac:dyDescent="0.2"/>
  <cols>
    <col min="1" max="1" width="3" customWidth="1"/>
    <col min="2" max="2" width="22" customWidth="1"/>
    <col min="3" max="3" width="14" customWidth="1"/>
    <col min="4" max="9" width="12" customWidth="1"/>
    <col min="10" max="10" width="14" customWidth="1"/>
    <col min="11" max="11" width="3" customWidth="1"/>
  </cols>
  <sheetData>
    <row r="1" spans="2:10" ht="33.75" customHeight="1" x14ac:dyDescent="0.2">
      <c r="B1" s="7" t="s">
        <v>14</v>
      </c>
      <c r="C1" s="7"/>
      <c r="D1" s="7"/>
      <c r="E1" s="7"/>
      <c r="F1" s="7"/>
      <c r="G1" s="7"/>
      <c r="H1" s="7"/>
      <c r="I1" s="7"/>
    </row>
    <row r="2" spans="2:10" ht="36" customHeight="1" x14ac:dyDescent="0.2">
      <c r="B2" s="15" t="s">
        <v>15</v>
      </c>
      <c r="C2" s="15" t="s">
        <v>16</v>
      </c>
      <c r="D2" s="15" t="s">
        <v>17</v>
      </c>
      <c r="E2" s="15" t="s">
        <v>18</v>
      </c>
      <c r="F2" s="15" t="s">
        <v>19</v>
      </c>
      <c r="G2" s="15" t="s">
        <v>20</v>
      </c>
      <c r="H2" s="15" t="s">
        <v>21</v>
      </c>
      <c r="I2" s="15" t="s">
        <v>22</v>
      </c>
      <c r="J2" s="16" t="s">
        <v>23</v>
      </c>
    </row>
    <row r="3" spans="2:10" ht="18" customHeight="1" x14ac:dyDescent="0.2">
      <c r="B3" s="17" t="s">
        <v>24</v>
      </c>
      <c r="C3" s="18" t="s">
        <v>25</v>
      </c>
      <c r="D3" s="19">
        <v>5</v>
      </c>
      <c r="E3" s="20">
        <v>0</v>
      </c>
      <c r="F3" s="20">
        <v>0</v>
      </c>
      <c r="G3" s="20">
        <v>0</v>
      </c>
      <c r="H3" s="20">
        <v>0</v>
      </c>
      <c r="I3" s="20">
        <v>0</v>
      </c>
      <c r="J3" s="21">
        <f t="shared" ref="J3:J14" si="0">AVERAGE(E3:I3)</f>
        <v>0</v>
      </c>
    </row>
    <row r="4" spans="2:10" ht="18" customHeight="1" x14ac:dyDescent="0.2">
      <c r="B4" s="17" t="s">
        <v>24</v>
      </c>
      <c r="C4" s="18" t="s">
        <v>25</v>
      </c>
      <c r="D4" s="19">
        <v>10</v>
      </c>
      <c r="E4" s="20">
        <v>0</v>
      </c>
      <c r="F4" s="20">
        <v>0</v>
      </c>
      <c r="G4" s="20">
        <v>0</v>
      </c>
      <c r="H4" s="20">
        <v>0</v>
      </c>
      <c r="I4" s="20">
        <v>0</v>
      </c>
      <c r="J4" s="21">
        <f t="shared" si="0"/>
        <v>0</v>
      </c>
    </row>
    <row r="5" spans="2:10" ht="18" customHeight="1" x14ac:dyDescent="0.2">
      <c r="B5" s="17" t="s">
        <v>24</v>
      </c>
      <c r="C5" s="18" t="s">
        <v>25</v>
      </c>
      <c r="D5" s="19">
        <v>15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1">
        <f t="shared" si="0"/>
        <v>0</v>
      </c>
    </row>
    <row r="6" spans="2:10" ht="18" customHeight="1" x14ac:dyDescent="0.2">
      <c r="B6" s="17" t="s">
        <v>24</v>
      </c>
      <c r="C6" s="18" t="s">
        <v>25</v>
      </c>
      <c r="D6" s="19">
        <v>20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1">
        <f t="shared" si="0"/>
        <v>0</v>
      </c>
    </row>
    <row r="7" spans="2:10" ht="18" customHeight="1" x14ac:dyDescent="0.2">
      <c r="B7" s="17" t="s">
        <v>24</v>
      </c>
      <c r="C7" s="18" t="s">
        <v>25</v>
      </c>
      <c r="D7" s="19">
        <v>25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1">
        <f t="shared" si="0"/>
        <v>0</v>
      </c>
    </row>
    <row r="8" spans="2:10" ht="18" customHeight="1" x14ac:dyDescent="0.2">
      <c r="B8" s="17" t="s">
        <v>24</v>
      </c>
      <c r="C8" s="18" t="s">
        <v>25</v>
      </c>
      <c r="D8" s="19">
        <v>30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1">
        <f t="shared" si="0"/>
        <v>0</v>
      </c>
    </row>
    <row r="9" spans="2:10" ht="18" customHeight="1" x14ac:dyDescent="0.2">
      <c r="B9" s="22" t="s">
        <v>24</v>
      </c>
      <c r="C9" s="23" t="s">
        <v>26</v>
      </c>
      <c r="D9" s="24">
        <v>5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1">
        <f t="shared" si="0"/>
        <v>0</v>
      </c>
    </row>
    <row r="10" spans="2:10" ht="18" customHeight="1" x14ac:dyDescent="0.2">
      <c r="B10" s="22" t="s">
        <v>24</v>
      </c>
      <c r="C10" s="23" t="s">
        <v>26</v>
      </c>
      <c r="D10" s="24">
        <v>10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1">
        <f t="shared" si="0"/>
        <v>0</v>
      </c>
    </row>
    <row r="11" spans="2:10" ht="18" customHeight="1" x14ac:dyDescent="0.2">
      <c r="B11" s="22" t="s">
        <v>24</v>
      </c>
      <c r="C11" s="23" t="s">
        <v>26</v>
      </c>
      <c r="D11" s="24">
        <v>15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1">
        <f t="shared" si="0"/>
        <v>0</v>
      </c>
    </row>
    <row r="12" spans="2:10" ht="18" customHeight="1" x14ac:dyDescent="0.2">
      <c r="B12" s="22" t="s">
        <v>24</v>
      </c>
      <c r="C12" s="23" t="s">
        <v>26</v>
      </c>
      <c r="D12" s="24">
        <v>20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1">
        <f t="shared" si="0"/>
        <v>0</v>
      </c>
    </row>
    <row r="13" spans="2:10" ht="18" customHeight="1" x14ac:dyDescent="0.2">
      <c r="B13" s="22" t="s">
        <v>24</v>
      </c>
      <c r="C13" s="23" t="s">
        <v>26</v>
      </c>
      <c r="D13" s="24">
        <v>25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1">
        <f t="shared" si="0"/>
        <v>0</v>
      </c>
    </row>
    <row r="14" spans="2:10" ht="18" customHeight="1" x14ac:dyDescent="0.2">
      <c r="B14" s="22" t="s">
        <v>24</v>
      </c>
      <c r="C14" s="23" t="s">
        <v>26</v>
      </c>
      <c r="D14" s="24">
        <v>30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1">
        <f t="shared" si="0"/>
        <v>0</v>
      </c>
    </row>
    <row r="16" spans="2:10" ht="18" customHeight="1" x14ac:dyDescent="0.2">
      <c r="B16" s="17" t="s">
        <v>27</v>
      </c>
      <c r="C16" s="18" t="s">
        <v>25</v>
      </c>
      <c r="D16" s="19">
        <v>5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1">
        <f t="shared" ref="J16:J27" si="1">AVERAGE(E16:I16)</f>
        <v>0</v>
      </c>
    </row>
    <row r="17" spans="2:10" ht="18" customHeight="1" x14ac:dyDescent="0.2">
      <c r="B17" s="17" t="s">
        <v>27</v>
      </c>
      <c r="C17" s="18" t="s">
        <v>25</v>
      </c>
      <c r="D17" s="19">
        <v>10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1">
        <f t="shared" si="1"/>
        <v>0</v>
      </c>
    </row>
    <row r="18" spans="2:10" ht="18" customHeight="1" x14ac:dyDescent="0.2">
      <c r="B18" s="17" t="s">
        <v>27</v>
      </c>
      <c r="C18" s="18" t="s">
        <v>25</v>
      </c>
      <c r="D18" s="19">
        <v>15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1">
        <f t="shared" si="1"/>
        <v>0</v>
      </c>
    </row>
    <row r="19" spans="2:10" ht="18" customHeight="1" x14ac:dyDescent="0.2">
      <c r="B19" s="17" t="s">
        <v>27</v>
      </c>
      <c r="C19" s="18" t="s">
        <v>25</v>
      </c>
      <c r="D19" s="19">
        <v>20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1">
        <f t="shared" si="1"/>
        <v>0</v>
      </c>
    </row>
    <row r="20" spans="2:10" ht="18" customHeight="1" x14ac:dyDescent="0.2">
      <c r="B20" s="17" t="s">
        <v>27</v>
      </c>
      <c r="C20" s="18" t="s">
        <v>25</v>
      </c>
      <c r="D20" s="19">
        <v>25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1">
        <f t="shared" si="1"/>
        <v>0</v>
      </c>
    </row>
    <row r="21" spans="2:10" ht="18" customHeight="1" x14ac:dyDescent="0.2">
      <c r="B21" s="17" t="s">
        <v>27</v>
      </c>
      <c r="C21" s="18" t="s">
        <v>25</v>
      </c>
      <c r="D21" s="19">
        <v>30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1">
        <f t="shared" si="1"/>
        <v>0</v>
      </c>
    </row>
    <row r="22" spans="2:10" ht="18" customHeight="1" x14ac:dyDescent="0.2">
      <c r="B22" s="22" t="s">
        <v>27</v>
      </c>
      <c r="C22" s="23" t="s">
        <v>26</v>
      </c>
      <c r="D22" s="24">
        <v>5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1">
        <f t="shared" si="1"/>
        <v>0</v>
      </c>
    </row>
    <row r="23" spans="2:10" ht="18" customHeight="1" x14ac:dyDescent="0.2">
      <c r="B23" s="22" t="s">
        <v>27</v>
      </c>
      <c r="C23" s="23" t="s">
        <v>26</v>
      </c>
      <c r="D23" s="24">
        <v>10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1">
        <f t="shared" si="1"/>
        <v>0</v>
      </c>
    </row>
    <row r="24" spans="2:10" ht="18" customHeight="1" x14ac:dyDescent="0.2">
      <c r="B24" s="22" t="s">
        <v>27</v>
      </c>
      <c r="C24" s="23" t="s">
        <v>26</v>
      </c>
      <c r="D24" s="24">
        <v>15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1">
        <f t="shared" si="1"/>
        <v>0</v>
      </c>
    </row>
    <row r="25" spans="2:10" ht="18" customHeight="1" x14ac:dyDescent="0.2">
      <c r="B25" s="22" t="s">
        <v>27</v>
      </c>
      <c r="C25" s="23" t="s">
        <v>26</v>
      </c>
      <c r="D25" s="24">
        <v>20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1">
        <f t="shared" si="1"/>
        <v>0</v>
      </c>
    </row>
    <row r="26" spans="2:10" ht="18" customHeight="1" x14ac:dyDescent="0.2">
      <c r="B26" s="22" t="s">
        <v>27</v>
      </c>
      <c r="C26" s="23" t="s">
        <v>26</v>
      </c>
      <c r="D26" s="24">
        <v>25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1">
        <f t="shared" si="1"/>
        <v>0</v>
      </c>
    </row>
    <row r="27" spans="2:10" ht="18" customHeight="1" x14ac:dyDescent="0.2">
      <c r="B27" s="22" t="s">
        <v>27</v>
      </c>
      <c r="C27" s="23" t="s">
        <v>26</v>
      </c>
      <c r="D27" s="24">
        <v>30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1">
        <f t="shared" si="1"/>
        <v>0</v>
      </c>
    </row>
    <row r="29" spans="2:10" ht="18" customHeight="1" x14ac:dyDescent="0.2">
      <c r="B29" s="17" t="s">
        <v>28</v>
      </c>
      <c r="C29" s="18" t="s">
        <v>25</v>
      </c>
      <c r="D29" s="19">
        <v>100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1">
        <f t="shared" ref="J29:J38" si="2">AVERAGE(E29:I29)</f>
        <v>0</v>
      </c>
    </row>
    <row r="30" spans="2:10" ht="18" customHeight="1" x14ac:dyDescent="0.2">
      <c r="B30" s="17" t="s">
        <v>28</v>
      </c>
      <c r="C30" s="18" t="s">
        <v>25</v>
      </c>
      <c r="D30" s="19">
        <v>500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1">
        <f t="shared" si="2"/>
        <v>0</v>
      </c>
    </row>
    <row r="31" spans="2:10" ht="18" customHeight="1" x14ac:dyDescent="0.2">
      <c r="B31" s="17" t="s">
        <v>28</v>
      </c>
      <c r="C31" s="18" t="s">
        <v>25</v>
      </c>
      <c r="D31" s="19">
        <v>1000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1">
        <f t="shared" si="2"/>
        <v>0</v>
      </c>
    </row>
    <row r="32" spans="2:10" ht="18" customHeight="1" x14ac:dyDescent="0.2">
      <c r="B32" s="17" t="s">
        <v>28</v>
      </c>
      <c r="C32" s="18" t="s">
        <v>25</v>
      </c>
      <c r="D32" s="19">
        <v>5000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1">
        <f t="shared" si="2"/>
        <v>0</v>
      </c>
    </row>
    <row r="33" spans="2:10" ht="18" customHeight="1" x14ac:dyDescent="0.2">
      <c r="B33" s="17" t="s">
        <v>28</v>
      </c>
      <c r="C33" s="18" t="s">
        <v>25</v>
      </c>
      <c r="D33" s="19">
        <v>10000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1">
        <f t="shared" si="2"/>
        <v>0</v>
      </c>
    </row>
    <row r="34" spans="2:10" ht="18" customHeight="1" x14ac:dyDescent="0.2">
      <c r="B34" s="22" t="s">
        <v>28</v>
      </c>
      <c r="C34" s="23" t="s">
        <v>26</v>
      </c>
      <c r="D34" s="24">
        <v>100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1">
        <f t="shared" si="2"/>
        <v>0</v>
      </c>
    </row>
    <row r="35" spans="2:10" ht="18" customHeight="1" x14ac:dyDescent="0.2">
      <c r="B35" s="22" t="s">
        <v>28</v>
      </c>
      <c r="C35" s="23" t="s">
        <v>26</v>
      </c>
      <c r="D35" s="24">
        <v>500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1">
        <f t="shared" si="2"/>
        <v>0</v>
      </c>
    </row>
    <row r="36" spans="2:10" ht="18" customHeight="1" x14ac:dyDescent="0.2">
      <c r="B36" s="22" t="s">
        <v>28</v>
      </c>
      <c r="C36" s="23" t="s">
        <v>26</v>
      </c>
      <c r="D36" s="24">
        <v>1000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1">
        <f t="shared" si="2"/>
        <v>0</v>
      </c>
    </row>
    <row r="37" spans="2:10" ht="18" customHeight="1" x14ac:dyDescent="0.2">
      <c r="B37" s="22" t="s">
        <v>28</v>
      </c>
      <c r="C37" s="23" t="s">
        <v>26</v>
      </c>
      <c r="D37" s="24">
        <v>5000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1">
        <f t="shared" si="2"/>
        <v>0</v>
      </c>
    </row>
    <row r="38" spans="2:10" ht="18" customHeight="1" x14ac:dyDescent="0.2">
      <c r="B38" s="22" t="s">
        <v>28</v>
      </c>
      <c r="C38" s="23" t="s">
        <v>26</v>
      </c>
      <c r="D38" s="24">
        <v>10000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1">
        <f t="shared" si="2"/>
        <v>0</v>
      </c>
    </row>
    <row r="40" spans="2:10" ht="18" customHeight="1" x14ac:dyDescent="0.2">
      <c r="B40" s="17" t="s">
        <v>29</v>
      </c>
      <c r="C40" s="18" t="s">
        <v>25</v>
      </c>
      <c r="D40" s="19">
        <v>100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1">
        <f t="shared" ref="J40:J49" si="3">AVERAGE(E40:I40)</f>
        <v>0</v>
      </c>
    </row>
    <row r="41" spans="2:10" ht="18" customHeight="1" x14ac:dyDescent="0.2">
      <c r="B41" s="17" t="s">
        <v>29</v>
      </c>
      <c r="C41" s="18" t="s">
        <v>25</v>
      </c>
      <c r="D41" s="19">
        <v>500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1">
        <f t="shared" si="3"/>
        <v>0</v>
      </c>
    </row>
    <row r="42" spans="2:10" ht="18" customHeight="1" x14ac:dyDescent="0.2">
      <c r="B42" s="17" t="s">
        <v>29</v>
      </c>
      <c r="C42" s="18" t="s">
        <v>25</v>
      </c>
      <c r="D42" s="19">
        <v>1000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1">
        <f t="shared" si="3"/>
        <v>0</v>
      </c>
    </row>
    <row r="43" spans="2:10" ht="18" customHeight="1" x14ac:dyDescent="0.2">
      <c r="B43" s="17" t="s">
        <v>29</v>
      </c>
      <c r="C43" s="18" t="s">
        <v>25</v>
      </c>
      <c r="D43" s="19">
        <v>5000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1">
        <f t="shared" si="3"/>
        <v>0</v>
      </c>
    </row>
    <row r="44" spans="2:10" ht="18" customHeight="1" x14ac:dyDescent="0.2">
      <c r="B44" s="17" t="s">
        <v>29</v>
      </c>
      <c r="C44" s="18" t="s">
        <v>25</v>
      </c>
      <c r="D44" s="19">
        <v>10000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1">
        <f t="shared" si="3"/>
        <v>0</v>
      </c>
    </row>
    <row r="45" spans="2:10" ht="18" customHeight="1" x14ac:dyDescent="0.2">
      <c r="B45" s="22" t="s">
        <v>29</v>
      </c>
      <c r="C45" s="23" t="s">
        <v>26</v>
      </c>
      <c r="D45" s="24">
        <v>100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1">
        <f t="shared" si="3"/>
        <v>0</v>
      </c>
    </row>
    <row r="46" spans="2:10" ht="18" customHeight="1" x14ac:dyDescent="0.2">
      <c r="B46" s="22" t="s">
        <v>29</v>
      </c>
      <c r="C46" s="23" t="s">
        <v>26</v>
      </c>
      <c r="D46" s="24">
        <v>500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1">
        <f t="shared" si="3"/>
        <v>0</v>
      </c>
    </row>
    <row r="47" spans="2:10" ht="18" customHeight="1" x14ac:dyDescent="0.2">
      <c r="B47" s="22" t="s">
        <v>29</v>
      </c>
      <c r="C47" s="23" t="s">
        <v>26</v>
      </c>
      <c r="D47" s="24">
        <v>1000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1">
        <f t="shared" si="3"/>
        <v>0</v>
      </c>
    </row>
    <row r="48" spans="2:10" ht="18" customHeight="1" x14ac:dyDescent="0.2">
      <c r="B48" s="22" t="s">
        <v>29</v>
      </c>
      <c r="C48" s="23" t="s">
        <v>26</v>
      </c>
      <c r="D48" s="24">
        <v>5000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1">
        <f t="shared" si="3"/>
        <v>0</v>
      </c>
    </row>
    <row r="49" spans="2:10" ht="18" customHeight="1" x14ac:dyDescent="0.2">
      <c r="B49" s="22" t="s">
        <v>29</v>
      </c>
      <c r="C49" s="23" t="s">
        <v>26</v>
      </c>
      <c r="D49" s="24">
        <v>10000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1">
        <f t="shared" si="3"/>
        <v>0</v>
      </c>
    </row>
    <row r="52" spans="2:10" x14ac:dyDescent="0.2">
      <c r="B52" s="6" t="s">
        <v>30</v>
      </c>
      <c r="C52" s="6"/>
      <c r="D52" s="6"/>
      <c r="E52" s="6"/>
      <c r="F52" s="6"/>
      <c r="G52" s="6"/>
      <c r="H52" s="6"/>
      <c r="I52" s="6"/>
      <c r="J52" s="6"/>
    </row>
  </sheetData>
  <mergeCells count="2">
    <mergeCell ref="B1:I1"/>
    <mergeCell ref="B52:J5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2"/>
  <sheetViews>
    <sheetView showGridLines="0" zoomScaleNormal="100" workbookViewId="0"/>
  </sheetViews>
  <sheetFormatPr baseColWidth="10" defaultColWidth="8.6640625" defaultRowHeight="15" customHeight="1" x14ac:dyDescent="0.2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">
      <c r="B1" s="7" t="s">
        <v>31</v>
      </c>
      <c r="C1" s="7"/>
      <c r="D1" s="7"/>
    </row>
    <row r="2" spans="2:4" ht="21.75" customHeight="1" x14ac:dyDescent="0.2">
      <c r="B2" s="17" t="s">
        <v>32</v>
      </c>
      <c r="C2" s="25" t="s">
        <v>33</v>
      </c>
      <c r="D2" s="25" t="s">
        <v>34</v>
      </c>
    </row>
    <row r="3" spans="2:4" ht="9.75" customHeight="1" x14ac:dyDescent="0.2"/>
    <row r="4" spans="2:4" ht="30" customHeight="1" x14ac:dyDescent="0.2">
      <c r="B4" s="15" t="s">
        <v>17</v>
      </c>
      <c r="C4" s="15" t="s">
        <v>35</v>
      </c>
      <c r="D4" s="16" t="s">
        <v>36</v>
      </c>
    </row>
    <row r="5" spans="2:4" ht="19.5" customHeight="1" x14ac:dyDescent="0.2">
      <c r="B5" s="26">
        <v>5</v>
      </c>
      <c r="C5" s="27">
        <f>AVERAGEIFS('1. Datos_Crudos'!$J:$J,'1. Datos_Crudos'!$B:$B,"A1 - Factorial",'1. Datos_Crudos'!$C:$C,"Iterativo",'1. Datos_Crudos'!$D:$D,B5)</f>
        <v>0</v>
      </c>
      <c r="D5" s="28">
        <f>AVERAGEIFS('1. Datos_Crudos'!$J:$J,'1. Datos_Crudos'!$B:$B,"A1 - Factorial",'1. Datos_Crudos'!$C:$C,"Recursivo",'1. Datos_Crudos'!$D:$D,B5)</f>
        <v>0</v>
      </c>
    </row>
    <row r="6" spans="2:4" ht="19.5" customHeight="1" x14ac:dyDescent="0.2">
      <c r="B6" s="29">
        <v>10</v>
      </c>
      <c r="C6" s="30">
        <f>AVERAGEIFS('1. Datos_Crudos'!$J:$J,'1. Datos_Crudos'!$B:$B,"A1 - Factorial",'1. Datos_Crudos'!$C:$C,"Iterativo",'1. Datos_Crudos'!$D:$D,B6)</f>
        <v>0</v>
      </c>
      <c r="D6" s="31">
        <f>AVERAGEIFS('1. Datos_Crudos'!$J:$J,'1. Datos_Crudos'!$B:$B,"A1 - Factorial",'1. Datos_Crudos'!$C:$C,"Recursivo",'1. Datos_Crudos'!$D:$D,B6)</f>
        <v>0</v>
      </c>
    </row>
    <row r="7" spans="2:4" ht="19.5" customHeight="1" x14ac:dyDescent="0.2">
      <c r="B7" s="26">
        <v>15</v>
      </c>
      <c r="C7" s="27">
        <f>AVERAGEIFS('1. Datos_Crudos'!$J:$J,'1. Datos_Crudos'!$B:$B,"A1 - Factorial",'1. Datos_Crudos'!$C:$C,"Iterativo",'1. Datos_Crudos'!$D:$D,B7)</f>
        <v>0</v>
      </c>
      <c r="D7" s="28">
        <f>AVERAGEIFS('1. Datos_Crudos'!$J:$J,'1. Datos_Crudos'!$B:$B,"A1 - Factorial",'1. Datos_Crudos'!$C:$C,"Recursivo",'1. Datos_Crudos'!$D:$D,B7)</f>
        <v>0</v>
      </c>
    </row>
    <row r="8" spans="2:4" ht="19.5" customHeight="1" x14ac:dyDescent="0.2">
      <c r="B8" s="29">
        <v>20</v>
      </c>
      <c r="C8" s="30">
        <f>AVERAGEIFS('1. Datos_Crudos'!$J:$J,'1. Datos_Crudos'!$B:$B,"A1 - Factorial",'1. Datos_Crudos'!$C:$C,"Iterativo",'1. Datos_Crudos'!$D:$D,B8)</f>
        <v>0</v>
      </c>
      <c r="D8" s="31">
        <f>AVERAGEIFS('1. Datos_Crudos'!$J:$J,'1. Datos_Crudos'!$B:$B,"A1 - Factorial",'1. Datos_Crudos'!$C:$C,"Recursivo",'1. Datos_Crudos'!$D:$D,B8)</f>
        <v>0</v>
      </c>
    </row>
    <row r="9" spans="2:4" ht="19.5" customHeight="1" x14ac:dyDescent="0.2">
      <c r="B9" s="26">
        <v>25</v>
      </c>
      <c r="C9" s="27">
        <f>AVERAGEIFS('1. Datos_Crudos'!$J:$J,'1. Datos_Crudos'!$B:$B,"A1 - Factorial",'1. Datos_Crudos'!$C:$C,"Iterativo",'1. Datos_Crudos'!$D:$D,B9)</f>
        <v>0</v>
      </c>
      <c r="D9" s="28">
        <f>AVERAGEIFS('1. Datos_Crudos'!$J:$J,'1. Datos_Crudos'!$B:$B,"A1 - Factorial",'1. Datos_Crudos'!$C:$C,"Recursivo",'1. Datos_Crudos'!$D:$D,B9)</f>
        <v>0</v>
      </c>
    </row>
    <row r="10" spans="2:4" ht="19.5" customHeight="1" x14ac:dyDescent="0.2">
      <c r="B10" s="29">
        <v>30</v>
      </c>
      <c r="C10" s="30">
        <f>AVERAGEIFS('1. Datos_Crudos'!$J:$J,'1. Datos_Crudos'!$B:$B,"A1 - Factorial",'1. Datos_Crudos'!$C:$C,"Iterativo",'1. Datos_Crudos'!$D:$D,B10)</f>
        <v>0</v>
      </c>
      <c r="D10" s="31">
        <f>AVERAGEIFS('1. Datos_Crudos'!$J:$J,'1. Datos_Crudos'!$B:$B,"A1 - Factorial",'1. Datos_Crudos'!$C:$C,"Recursivo",'1. Datos_Crudos'!$D:$D,B10)</f>
        <v>0</v>
      </c>
    </row>
    <row r="12" spans="2:4" ht="39.75" customHeight="1" x14ac:dyDescent="0.2">
      <c r="B12" s="5" t="s">
        <v>37</v>
      </c>
      <c r="C12" s="5"/>
      <c r="D12" s="5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2"/>
  <sheetViews>
    <sheetView showGridLines="0" zoomScaleNormal="100" workbookViewId="0"/>
  </sheetViews>
  <sheetFormatPr baseColWidth="10" defaultColWidth="8.6640625" defaultRowHeight="15" customHeight="1" x14ac:dyDescent="0.2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">
      <c r="B1" s="7" t="s">
        <v>38</v>
      </c>
      <c r="C1" s="7"/>
      <c r="D1" s="7"/>
    </row>
    <row r="2" spans="2:4" ht="21.75" customHeight="1" x14ac:dyDescent="0.2">
      <c r="B2" s="17" t="s">
        <v>32</v>
      </c>
      <c r="C2" s="25" t="s">
        <v>33</v>
      </c>
      <c r="D2" s="32" t="s">
        <v>39</v>
      </c>
    </row>
    <row r="3" spans="2:4" ht="9.75" customHeight="1" x14ac:dyDescent="0.2"/>
    <row r="4" spans="2:4" ht="30" customHeight="1" x14ac:dyDescent="0.2">
      <c r="B4" s="15" t="s">
        <v>17</v>
      </c>
      <c r="C4" s="15" t="s">
        <v>35</v>
      </c>
      <c r="D4" s="16" t="s">
        <v>40</v>
      </c>
    </row>
    <row r="5" spans="2:4" ht="19.5" customHeight="1" x14ac:dyDescent="0.2">
      <c r="B5" s="26">
        <v>5</v>
      </c>
      <c r="C5" s="27">
        <f>AVERAGEIFS('1. Datos_Crudos'!$J:$J,'1. Datos_Crudos'!$B:$B,"A2 - Fibonacci",'1. Datos_Crudos'!$C:$C,"Iterativo",'1. Datos_Crudos'!$D:$D,B5)</f>
        <v>0</v>
      </c>
      <c r="D5" s="33">
        <f>AVERAGEIFS('1. Datos_Crudos'!$J:$J,'1. Datos_Crudos'!$B:$B,"A2 - Fibonacci",'1. Datos_Crudos'!$C:$C,"Recursivo",'1. Datos_Crudos'!$D:$D,B5)</f>
        <v>0</v>
      </c>
    </row>
    <row r="6" spans="2:4" ht="19.5" customHeight="1" x14ac:dyDescent="0.2">
      <c r="B6" s="29">
        <v>10</v>
      </c>
      <c r="C6" s="30">
        <f>AVERAGEIFS('1. Datos_Crudos'!$J:$J,'1. Datos_Crudos'!$B:$B,"A2 - Fibonacci",'1. Datos_Crudos'!$C:$C,"Iterativo",'1. Datos_Crudos'!$D:$D,B6)</f>
        <v>0</v>
      </c>
      <c r="D6" s="34">
        <f>AVERAGEIFS('1. Datos_Crudos'!$J:$J,'1. Datos_Crudos'!$B:$B,"A2 - Fibonacci",'1. Datos_Crudos'!$C:$C,"Recursivo",'1. Datos_Crudos'!$D:$D,B6)</f>
        <v>0</v>
      </c>
    </row>
    <row r="7" spans="2:4" ht="19.5" customHeight="1" x14ac:dyDescent="0.2">
      <c r="B7" s="26">
        <v>15</v>
      </c>
      <c r="C7" s="27">
        <f>AVERAGEIFS('1. Datos_Crudos'!$J:$J,'1. Datos_Crudos'!$B:$B,"A2 - Fibonacci",'1. Datos_Crudos'!$C:$C,"Iterativo",'1. Datos_Crudos'!$D:$D,B7)</f>
        <v>0</v>
      </c>
      <c r="D7" s="33">
        <f>AVERAGEIFS('1. Datos_Crudos'!$J:$J,'1. Datos_Crudos'!$B:$B,"A2 - Fibonacci",'1. Datos_Crudos'!$C:$C,"Recursivo",'1. Datos_Crudos'!$D:$D,B7)</f>
        <v>0</v>
      </c>
    </row>
    <row r="8" spans="2:4" ht="19.5" customHeight="1" x14ac:dyDescent="0.2">
      <c r="B8" s="29">
        <v>20</v>
      </c>
      <c r="C8" s="30">
        <f>AVERAGEIFS('1. Datos_Crudos'!$J:$J,'1. Datos_Crudos'!$B:$B,"A2 - Fibonacci",'1. Datos_Crudos'!$C:$C,"Iterativo",'1. Datos_Crudos'!$D:$D,B8)</f>
        <v>0</v>
      </c>
      <c r="D8" s="34">
        <f>AVERAGEIFS('1. Datos_Crudos'!$J:$J,'1. Datos_Crudos'!$B:$B,"A2 - Fibonacci",'1. Datos_Crudos'!$C:$C,"Recursivo",'1. Datos_Crudos'!$D:$D,B8)</f>
        <v>0</v>
      </c>
    </row>
    <row r="9" spans="2:4" ht="19.5" customHeight="1" x14ac:dyDescent="0.2">
      <c r="B9" s="26">
        <v>25</v>
      </c>
      <c r="C9" s="27">
        <f>AVERAGEIFS('1. Datos_Crudos'!$J:$J,'1. Datos_Crudos'!$B:$B,"A2 - Fibonacci",'1. Datos_Crudos'!$C:$C,"Iterativo",'1. Datos_Crudos'!$D:$D,B9)</f>
        <v>0</v>
      </c>
      <c r="D9" s="33">
        <f>AVERAGEIFS('1. Datos_Crudos'!$J:$J,'1. Datos_Crudos'!$B:$B,"A2 - Fibonacci",'1. Datos_Crudos'!$C:$C,"Recursivo",'1. Datos_Crudos'!$D:$D,B9)</f>
        <v>0</v>
      </c>
    </row>
    <row r="10" spans="2:4" ht="19.5" customHeight="1" x14ac:dyDescent="0.2">
      <c r="B10" s="29">
        <v>30</v>
      </c>
      <c r="C10" s="30">
        <f>AVERAGEIFS('1. Datos_Crudos'!$J:$J,'1. Datos_Crudos'!$B:$B,"A2 - Fibonacci",'1. Datos_Crudos'!$C:$C,"Iterativo",'1. Datos_Crudos'!$D:$D,B10)</f>
        <v>0</v>
      </c>
      <c r="D10" s="34">
        <f>AVERAGEIFS('1. Datos_Crudos'!$J:$J,'1. Datos_Crudos'!$B:$B,"A2 - Fibonacci",'1. Datos_Crudos'!$C:$C,"Recursivo",'1. Datos_Crudos'!$D:$D,B10)</f>
        <v>0</v>
      </c>
    </row>
    <row r="12" spans="2:4" ht="39.75" customHeight="1" x14ac:dyDescent="0.2">
      <c r="B12" s="5" t="s">
        <v>41</v>
      </c>
      <c r="C12" s="5"/>
      <c r="D12" s="5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1"/>
  <sheetViews>
    <sheetView showGridLines="0" zoomScaleNormal="100" workbookViewId="0"/>
  </sheetViews>
  <sheetFormatPr baseColWidth="10" defaultColWidth="8.6640625" defaultRowHeight="15" customHeight="1" x14ac:dyDescent="0.2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">
      <c r="B1" s="7" t="s">
        <v>42</v>
      </c>
      <c r="C1" s="7"/>
      <c r="D1" s="7"/>
    </row>
    <row r="2" spans="2:4" ht="21.75" customHeight="1" x14ac:dyDescent="0.2">
      <c r="B2" s="17" t="s">
        <v>32</v>
      </c>
      <c r="C2" s="25" t="s">
        <v>33</v>
      </c>
      <c r="D2" s="25" t="s">
        <v>34</v>
      </c>
    </row>
    <row r="3" spans="2:4" ht="9.75" customHeight="1" x14ac:dyDescent="0.2"/>
    <row r="4" spans="2:4" ht="30" customHeight="1" x14ac:dyDescent="0.2">
      <c r="B4" s="15" t="s">
        <v>17</v>
      </c>
      <c r="C4" s="15" t="s">
        <v>35</v>
      </c>
      <c r="D4" s="16" t="s">
        <v>36</v>
      </c>
    </row>
    <row r="5" spans="2:4" ht="19.5" customHeight="1" x14ac:dyDescent="0.2">
      <c r="B5" s="26">
        <v>100</v>
      </c>
      <c r="C5" s="27">
        <f>AVERAGEIFS('1. Datos_Crudos'!$J:$J,'1. Datos_Crudos'!$B:$B,"A3 - Busqueda Lineal",'1. Datos_Crudos'!$C:$C,"Iterativo",'1. Datos_Crudos'!$D:$D,B5)</f>
        <v>0</v>
      </c>
      <c r="D5" s="28">
        <f>AVERAGEIFS('1. Datos_Crudos'!$J:$J,'1. Datos_Crudos'!$B:$B,"A3 - Busqueda Lineal",'1. Datos_Crudos'!$C:$C,"Recursivo",'1. Datos_Crudos'!$D:$D,B5)</f>
        <v>0</v>
      </c>
    </row>
    <row r="6" spans="2:4" ht="19.5" customHeight="1" x14ac:dyDescent="0.2">
      <c r="B6" s="29">
        <v>500</v>
      </c>
      <c r="C6" s="30">
        <f>AVERAGEIFS('1. Datos_Crudos'!$J:$J,'1. Datos_Crudos'!$B:$B,"A3 - Busqueda Lineal",'1. Datos_Crudos'!$C:$C,"Iterativo",'1. Datos_Crudos'!$D:$D,B6)</f>
        <v>0</v>
      </c>
      <c r="D6" s="31">
        <f>AVERAGEIFS('1. Datos_Crudos'!$J:$J,'1. Datos_Crudos'!$B:$B,"A3 - Busqueda Lineal",'1. Datos_Crudos'!$C:$C,"Recursivo",'1. Datos_Crudos'!$D:$D,B6)</f>
        <v>0</v>
      </c>
    </row>
    <row r="7" spans="2:4" ht="19.5" customHeight="1" x14ac:dyDescent="0.2">
      <c r="B7" s="26">
        <v>1000</v>
      </c>
      <c r="C7" s="27">
        <f>AVERAGEIFS('1. Datos_Crudos'!$J:$J,'1. Datos_Crudos'!$B:$B,"A3 - Busqueda Lineal",'1. Datos_Crudos'!$C:$C,"Iterativo",'1. Datos_Crudos'!$D:$D,B7)</f>
        <v>0</v>
      </c>
      <c r="D7" s="28">
        <f>AVERAGEIFS('1. Datos_Crudos'!$J:$J,'1. Datos_Crudos'!$B:$B,"A3 - Busqueda Lineal",'1. Datos_Crudos'!$C:$C,"Recursivo",'1. Datos_Crudos'!$D:$D,B7)</f>
        <v>0</v>
      </c>
    </row>
    <row r="8" spans="2:4" ht="19.5" customHeight="1" x14ac:dyDescent="0.2">
      <c r="B8" s="29">
        <v>5000</v>
      </c>
      <c r="C8" s="30">
        <f>AVERAGEIFS('1. Datos_Crudos'!$J:$J,'1. Datos_Crudos'!$B:$B,"A3 - Busqueda Lineal",'1. Datos_Crudos'!$C:$C,"Iterativo",'1. Datos_Crudos'!$D:$D,B8)</f>
        <v>0</v>
      </c>
      <c r="D8" s="31">
        <f>AVERAGEIFS('1. Datos_Crudos'!$J:$J,'1. Datos_Crudos'!$B:$B,"A3 - Busqueda Lineal",'1. Datos_Crudos'!$C:$C,"Recursivo",'1. Datos_Crudos'!$D:$D,B8)</f>
        <v>0</v>
      </c>
    </row>
    <row r="9" spans="2:4" ht="19.5" customHeight="1" x14ac:dyDescent="0.2">
      <c r="B9" s="26">
        <v>10000</v>
      </c>
      <c r="C9" s="27">
        <f>AVERAGEIFS('1. Datos_Crudos'!$J:$J,'1. Datos_Crudos'!$B:$B,"A3 - Busqueda Lineal",'1. Datos_Crudos'!$C:$C,"Iterativo",'1. Datos_Crudos'!$D:$D,B9)</f>
        <v>0</v>
      </c>
      <c r="D9" s="28">
        <f>AVERAGEIFS('1. Datos_Crudos'!$J:$J,'1. Datos_Crudos'!$B:$B,"A3 - Busqueda Lineal",'1. Datos_Crudos'!$C:$C,"Recursivo",'1. Datos_Crudos'!$D:$D,B9)</f>
        <v>0</v>
      </c>
    </row>
    <row r="11" spans="2:4" ht="39.75" customHeight="1" x14ac:dyDescent="0.2">
      <c r="B11" s="5" t="s">
        <v>43</v>
      </c>
      <c r="C11" s="5"/>
      <c r="D11" s="5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11"/>
  <sheetViews>
    <sheetView showGridLines="0" zoomScaleNormal="100" workbookViewId="0"/>
  </sheetViews>
  <sheetFormatPr baseColWidth="10" defaultColWidth="8.6640625" defaultRowHeight="15" customHeight="1" x14ac:dyDescent="0.2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">
      <c r="B1" s="7" t="s">
        <v>44</v>
      </c>
      <c r="C1" s="7"/>
      <c r="D1" s="7"/>
    </row>
    <row r="2" spans="2:4" ht="21.75" customHeight="1" x14ac:dyDescent="0.2">
      <c r="B2" s="17" t="s">
        <v>32</v>
      </c>
      <c r="C2" s="25" t="s">
        <v>45</v>
      </c>
      <c r="D2" s="25" t="s">
        <v>46</v>
      </c>
    </row>
    <row r="3" spans="2:4" ht="9.75" customHeight="1" x14ac:dyDescent="0.2"/>
    <row r="4" spans="2:4" ht="30" customHeight="1" x14ac:dyDescent="0.2">
      <c r="B4" s="15" t="s">
        <v>17</v>
      </c>
      <c r="C4" s="15" t="s">
        <v>47</v>
      </c>
      <c r="D4" s="16" t="s">
        <v>48</v>
      </c>
    </row>
    <row r="5" spans="2:4" ht="19.5" customHeight="1" x14ac:dyDescent="0.2">
      <c r="B5" s="26">
        <v>100</v>
      </c>
      <c r="C5" s="27">
        <f>AVERAGEIFS('1. Datos_Crudos'!$J:$J,'1. Datos_Crudos'!$B:$B,"A4 - Burbuja",'1. Datos_Crudos'!$C:$C,"Iterativo",'1. Datos_Crudos'!$D:$D,B5)</f>
        <v>0</v>
      </c>
      <c r="D5" s="28">
        <f>AVERAGEIFS('1. Datos_Crudos'!$J:$J,'1. Datos_Crudos'!$B:$B,"A4 - Burbuja",'1. Datos_Crudos'!$C:$C,"Recursivo",'1. Datos_Crudos'!$D:$D,B5)</f>
        <v>0</v>
      </c>
    </row>
    <row r="6" spans="2:4" ht="19.5" customHeight="1" x14ac:dyDescent="0.2">
      <c r="B6" s="29">
        <v>500</v>
      </c>
      <c r="C6" s="30">
        <f>AVERAGEIFS('1. Datos_Crudos'!$J:$J,'1. Datos_Crudos'!$B:$B,"A4 - Burbuja",'1. Datos_Crudos'!$C:$C,"Iterativo",'1. Datos_Crudos'!$D:$D,B6)</f>
        <v>0</v>
      </c>
      <c r="D6" s="31">
        <f>AVERAGEIFS('1. Datos_Crudos'!$J:$J,'1. Datos_Crudos'!$B:$B,"A4 - Burbuja",'1. Datos_Crudos'!$C:$C,"Recursivo",'1. Datos_Crudos'!$D:$D,B6)</f>
        <v>0</v>
      </c>
    </row>
    <row r="7" spans="2:4" ht="19.5" customHeight="1" x14ac:dyDescent="0.2">
      <c r="B7" s="26">
        <v>1000</v>
      </c>
      <c r="C7" s="27">
        <f>AVERAGEIFS('1. Datos_Crudos'!$J:$J,'1. Datos_Crudos'!$B:$B,"A4 - Burbuja",'1. Datos_Crudos'!$C:$C,"Iterativo",'1. Datos_Crudos'!$D:$D,B7)</f>
        <v>0</v>
      </c>
      <c r="D7" s="28">
        <f>AVERAGEIFS('1. Datos_Crudos'!$J:$J,'1. Datos_Crudos'!$B:$B,"A4 - Burbuja",'1. Datos_Crudos'!$C:$C,"Recursivo",'1. Datos_Crudos'!$D:$D,B7)</f>
        <v>0</v>
      </c>
    </row>
    <row r="8" spans="2:4" ht="19.5" customHeight="1" x14ac:dyDescent="0.2">
      <c r="B8" s="29">
        <v>5000</v>
      </c>
      <c r="C8" s="30">
        <f>AVERAGEIFS('1. Datos_Crudos'!$J:$J,'1. Datos_Crudos'!$B:$B,"A4 - Burbuja",'1. Datos_Crudos'!$C:$C,"Iterativo",'1. Datos_Crudos'!$D:$D,B8)</f>
        <v>0</v>
      </c>
      <c r="D8" s="31">
        <f>AVERAGEIFS('1. Datos_Crudos'!$J:$J,'1. Datos_Crudos'!$B:$B,"A4 - Burbuja",'1. Datos_Crudos'!$C:$C,"Recursivo",'1. Datos_Crudos'!$D:$D,B8)</f>
        <v>0</v>
      </c>
    </row>
    <row r="9" spans="2:4" ht="19.5" customHeight="1" x14ac:dyDescent="0.2">
      <c r="B9" s="26">
        <v>10000</v>
      </c>
      <c r="C9" s="27">
        <f>AVERAGEIFS('1. Datos_Crudos'!$J:$J,'1. Datos_Crudos'!$B:$B,"A4 - Burbuja",'1. Datos_Crudos'!$C:$C,"Iterativo",'1. Datos_Crudos'!$D:$D,B9)</f>
        <v>0</v>
      </c>
      <c r="D9" s="28">
        <f>AVERAGEIFS('1. Datos_Crudos'!$J:$J,'1. Datos_Crudos'!$B:$B,"A4 - Burbuja",'1. Datos_Crudos'!$C:$C,"Recursivo",'1. Datos_Crudos'!$D:$D,B9)</f>
        <v>0</v>
      </c>
    </row>
    <row r="11" spans="2:4" ht="39.75" customHeight="1" x14ac:dyDescent="0.2">
      <c r="B11" s="5" t="s">
        <v>49</v>
      </c>
      <c r="C11" s="5"/>
      <c r="D11" s="5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9"/>
  <sheetViews>
    <sheetView showGridLines="0" zoomScaleNormal="100" workbookViewId="0"/>
  </sheetViews>
  <sheetFormatPr baseColWidth="10" defaultColWidth="8.6640625" defaultRowHeight="15" customHeight="1" x14ac:dyDescent="0.2"/>
  <cols>
    <col min="1" max="1" width="3" customWidth="1"/>
    <col min="2" max="2" width="24" customWidth="1"/>
    <col min="3" max="3" width="16" customWidth="1"/>
    <col min="4" max="5" width="20" customWidth="1"/>
    <col min="6" max="6" width="16" customWidth="1"/>
    <col min="7" max="7" width="42" customWidth="1"/>
  </cols>
  <sheetData>
    <row r="1" spans="2:7" ht="33.75" customHeight="1" x14ac:dyDescent="0.2">
      <c r="B1" s="7" t="s">
        <v>50</v>
      </c>
      <c r="C1" s="7"/>
      <c r="D1" s="7"/>
      <c r="E1" s="7"/>
      <c r="F1" s="7"/>
      <c r="G1" s="7"/>
    </row>
    <row r="2" spans="2:7" ht="9.75" customHeight="1" x14ac:dyDescent="0.2"/>
    <row r="3" spans="2:7" ht="30" customHeight="1" x14ac:dyDescent="0.2">
      <c r="B3" s="35" t="s">
        <v>15</v>
      </c>
      <c r="C3" s="35" t="s">
        <v>16</v>
      </c>
      <c r="D3" s="36" t="s">
        <v>51</v>
      </c>
      <c r="E3" s="37" t="s">
        <v>52</v>
      </c>
      <c r="F3" s="37" t="s">
        <v>53</v>
      </c>
      <c r="G3" s="37" t="s">
        <v>54</v>
      </c>
    </row>
    <row r="4" spans="2:7" ht="21.75" customHeight="1" x14ac:dyDescent="0.2">
      <c r="B4" s="37" t="s">
        <v>24</v>
      </c>
      <c r="C4" s="38" t="s">
        <v>25</v>
      </c>
      <c r="D4" s="39" t="s">
        <v>55</v>
      </c>
      <c r="E4" s="37" t="s">
        <v>33</v>
      </c>
      <c r="F4" s="40" t="s">
        <v>56</v>
      </c>
      <c r="G4" s="41"/>
    </row>
    <row r="5" spans="2:7" ht="21.75" customHeight="1" x14ac:dyDescent="0.2">
      <c r="B5" s="42" t="s">
        <v>24</v>
      </c>
      <c r="C5" s="43" t="s">
        <v>26</v>
      </c>
      <c r="D5" s="39" t="s">
        <v>55</v>
      </c>
      <c r="E5" s="42" t="s">
        <v>33</v>
      </c>
      <c r="F5" s="40" t="s">
        <v>56</v>
      </c>
      <c r="G5" s="41"/>
    </row>
    <row r="6" spans="2:7" ht="21.75" customHeight="1" x14ac:dyDescent="0.2">
      <c r="B6" s="37" t="s">
        <v>27</v>
      </c>
      <c r="C6" s="38" t="s">
        <v>25</v>
      </c>
      <c r="D6" s="39" t="s">
        <v>55</v>
      </c>
      <c r="E6" s="37" t="s">
        <v>33</v>
      </c>
      <c r="F6" s="40" t="s">
        <v>56</v>
      </c>
      <c r="G6" s="41"/>
    </row>
    <row r="7" spans="2:7" ht="21.75" customHeight="1" x14ac:dyDescent="0.2">
      <c r="B7" s="42" t="s">
        <v>27</v>
      </c>
      <c r="C7" s="43" t="s">
        <v>26</v>
      </c>
      <c r="D7" s="39" t="s">
        <v>55</v>
      </c>
      <c r="E7" s="42" t="s">
        <v>57</v>
      </c>
      <c r="F7" s="40" t="s">
        <v>56</v>
      </c>
      <c r="G7" s="41"/>
    </row>
    <row r="8" spans="2:7" ht="21.75" customHeight="1" x14ac:dyDescent="0.2">
      <c r="B8" s="37" t="s">
        <v>28</v>
      </c>
      <c r="C8" s="38" t="s">
        <v>25</v>
      </c>
      <c r="D8" s="39" t="s">
        <v>55</v>
      </c>
      <c r="E8" s="37" t="s">
        <v>33</v>
      </c>
      <c r="F8" s="40" t="s">
        <v>56</v>
      </c>
      <c r="G8" s="41"/>
    </row>
    <row r="9" spans="2:7" ht="21.75" customHeight="1" x14ac:dyDescent="0.2">
      <c r="B9" s="42" t="s">
        <v>28</v>
      </c>
      <c r="C9" s="43" t="s">
        <v>26</v>
      </c>
      <c r="D9" s="39" t="s">
        <v>55</v>
      </c>
      <c r="E9" s="42" t="s">
        <v>33</v>
      </c>
      <c r="F9" s="40" t="s">
        <v>56</v>
      </c>
      <c r="G9" s="41"/>
    </row>
    <row r="10" spans="2:7" ht="21.75" customHeight="1" x14ac:dyDescent="0.2">
      <c r="B10" s="37" t="s">
        <v>29</v>
      </c>
      <c r="C10" s="38" t="s">
        <v>25</v>
      </c>
      <c r="D10" s="39" t="s">
        <v>55</v>
      </c>
      <c r="E10" s="37" t="s">
        <v>45</v>
      </c>
      <c r="F10" s="40" t="s">
        <v>56</v>
      </c>
      <c r="G10" s="41"/>
    </row>
    <row r="11" spans="2:7" ht="21.75" customHeight="1" x14ac:dyDescent="0.2">
      <c r="B11" s="42" t="s">
        <v>29</v>
      </c>
      <c r="C11" s="43" t="s">
        <v>26</v>
      </c>
      <c r="D11" s="39" t="s">
        <v>55</v>
      </c>
      <c r="E11" s="42" t="s">
        <v>45</v>
      </c>
      <c r="F11" s="40" t="s">
        <v>56</v>
      </c>
      <c r="G11" s="41"/>
    </row>
    <row r="14" spans="2:7" ht="7.5" customHeight="1" x14ac:dyDescent="0.2"/>
    <row r="15" spans="2:7" ht="15" customHeight="1" x14ac:dyDescent="0.2">
      <c r="B15" s="4" t="s">
        <v>58</v>
      </c>
      <c r="C15" s="4"/>
      <c r="D15" s="4"/>
      <c r="E15" s="4"/>
      <c r="F15" s="4"/>
      <c r="G15" s="4"/>
    </row>
    <row r="16" spans="2:7" ht="19.5" customHeight="1" x14ac:dyDescent="0.2">
      <c r="B16" s="17" t="s">
        <v>59</v>
      </c>
      <c r="C16" s="3" t="s">
        <v>60</v>
      </c>
      <c r="D16" s="3"/>
      <c r="E16" s="3"/>
      <c r="F16" s="3"/>
      <c r="G16" s="3"/>
    </row>
    <row r="17" spans="2:7" ht="19.5" customHeight="1" x14ac:dyDescent="0.2">
      <c r="B17" s="22" t="s">
        <v>61</v>
      </c>
      <c r="C17" s="2" t="s">
        <v>62</v>
      </c>
      <c r="D17" s="2"/>
      <c r="E17" s="2"/>
      <c r="F17" s="2"/>
      <c r="G17" s="2"/>
    </row>
    <row r="18" spans="2:7" ht="19.5" customHeight="1" x14ac:dyDescent="0.2">
      <c r="B18" s="17" t="s">
        <v>63</v>
      </c>
      <c r="C18" s="3" t="s">
        <v>64</v>
      </c>
      <c r="D18" s="3"/>
      <c r="E18" s="3"/>
      <c r="F18" s="3"/>
      <c r="G18" s="3"/>
    </row>
    <row r="19" spans="2:7" ht="19.5" customHeight="1" x14ac:dyDescent="0.2">
      <c r="B19" s="44" t="s">
        <v>65</v>
      </c>
      <c r="C19" s="1" t="s">
        <v>66</v>
      </c>
      <c r="D19" s="1"/>
      <c r="E19" s="1"/>
      <c r="F19" s="1"/>
      <c r="G19" s="1"/>
    </row>
  </sheetData>
  <mergeCells count="6">
    <mergeCell ref="C19:G19"/>
    <mergeCell ref="B1:G1"/>
    <mergeCell ref="B15:G15"/>
    <mergeCell ref="C16:G16"/>
    <mergeCell ref="C17:G17"/>
    <mergeCell ref="C18:G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Guia de Uso</vt:lpstr>
      <vt:lpstr>1. Datos_Crudos</vt:lpstr>
      <vt:lpstr>2. Factorial</vt:lpstr>
      <vt:lpstr>3. Fibonacci</vt:lpstr>
      <vt:lpstr>4. Busqueda Lineal</vt:lpstr>
      <vt:lpstr>5. Burbuja</vt:lpstr>
      <vt:lpstr>6. 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Chitay Coutiño, Brandon Antony</cp:lastModifiedBy>
  <cp:revision>1</cp:revision>
  <dcterms:created xsi:type="dcterms:W3CDTF">2026-02-20T06:55:59Z</dcterms:created>
  <dcterms:modified xsi:type="dcterms:W3CDTF">2026-02-20T06:58:17Z</dcterms:modified>
  <dc:language>en-US</dc:language>
</cp:coreProperties>
</file>