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500" firstSheet="0" activeTab="0" autoFilterDateGrouping="1"/>
  </bookViews>
  <sheets>
    <sheet xmlns:r="http://schemas.openxmlformats.org/officeDocument/2006/relationships" name="Guia de Uso" sheetId="1" state="visible" r:id="rId1"/>
    <sheet xmlns:r="http://schemas.openxmlformats.org/officeDocument/2006/relationships" name="1. Datos_Crudos" sheetId="2" state="visible" r:id="rId2"/>
    <sheet xmlns:r="http://schemas.openxmlformats.org/officeDocument/2006/relationships" name="2. Factorial" sheetId="3" state="visible" r:id="rId3"/>
    <sheet xmlns:r="http://schemas.openxmlformats.org/officeDocument/2006/relationships" name="3. Fibonacci" sheetId="4" state="visible" r:id="rId4"/>
    <sheet xmlns:r="http://schemas.openxmlformats.org/officeDocument/2006/relationships" name="4. Busqueda Lineal" sheetId="5" state="visible" r:id="rId5"/>
    <sheet xmlns:r="http://schemas.openxmlformats.org/officeDocument/2006/relationships" name="5. Burbuja" sheetId="6" state="visible" r:id="rId6"/>
    <sheet xmlns:r="http://schemas.openxmlformats.org/officeDocument/2006/relationships" name="6. Conclusiones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#,##0.000000"/>
  </numFmts>
  <fonts count="24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A48029"/>
      <sz val="10"/>
    </font>
    <font>
      <name val="Arial"/>
      <charset val="1"/>
      <b val="1"/>
      <color rgb="FFFFFFFF"/>
      <sz val="10"/>
    </font>
    <font>
      <name val="Arial"/>
      <charset val="1"/>
      <color rgb="FF333333"/>
      <sz val="10"/>
    </font>
    <font>
      <name val="Courier New"/>
      <charset val="1"/>
      <color rgb="FF333333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1B3A6B"/>
      <sz val="9"/>
    </font>
    <font>
      <name val="Arial"/>
      <charset val="1"/>
      <color rgb="FF555555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i val="1"/>
      <color rgb="FF666666"/>
      <sz val="9"/>
    </font>
    <font>
      <name val="Arial"/>
      <charset val="1"/>
      <b val="1"/>
      <color rgb="FF1B3A6B"/>
      <sz val="11"/>
    </font>
    <font>
      <name val="Arial"/>
      <charset val="1"/>
      <b val="1"/>
      <color rgb="FF000000"/>
      <sz val="10"/>
    </font>
    <font>
      <name val="Arial"/>
      <charset val="1"/>
      <color rgb="FF1B3A6B"/>
      <sz val="10"/>
    </font>
    <font>
      <name val="Arial"/>
      <charset val="1"/>
      <color rgb="FFA48029"/>
      <sz val="10"/>
    </font>
    <font>
      <name val="Arial"/>
      <charset val="1"/>
      <i val="1"/>
      <color rgb="FF333333"/>
      <sz val="9"/>
    </font>
    <font>
      <name val="Arial"/>
      <charset val="1"/>
      <b val="1"/>
      <color rgb="FF8B0000"/>
      <sz val="11"/>
    </font>
    <font>
      <name val="Arial"/>
      <charset val="1"/>
      <color rgb="FF8B0000"/>
      <sz val="10"/>
    </font>
    <font>
      <name val="Arial"/>
      <charset val="1"/>
      <b val="1"/>
      <color rgb="FFFFFFFF"/>
      <sz val="9"/>
    </font>
    <font>
      <name val="Arial"/>
      <charset val="1"/>
      <color rgb="FF444444"/>
      <sz val="9"/>
    </font>
    <font>
      <name val="Arial"/>
      <charset val="1"/>
      <b val="1"/>
      <color rgb="FFAA0000"/>
      <sz val="9"/>
    </font>
    <font>
      <name val="Arial"/>
      <charset val="1"/>
      <b val="1"/>
      <color rgb="FF007700"/>
      <sz val="9"/>
    </font>
    <font>
      <name val="Arial"/>
      <charset val="1"/>
      <color rgb="FF333333"/>
      <sz val="9"/>
    </font>
  </fonts>
  <fills count="13">
    <fill>
      <patternFill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8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3" fillId="12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left" vertical="center" wrapText="1"/>
    </xf>
    <xf numFmtId="0" fontId="8" fillId="10" borderId="3" applyAlignment="1" pivotButton="0" quotePrefix="0" xfId="0">
      <alignment horizontal="center" vertical="center" wrapText="1"/>
    </xf>
    <xf numFmtId="0" fontId="9" fillId="9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center" vertical="center" wrapText="1"/>
    </xf>
    <xf numFmtId="164" fontId="14" fillId="4" borderId="3" applyAlignment="1" pivotButton="0" quotePrefix="0" xfId="0">
      <alignment horizontal="center" vertical="center" wrapText="1"/>
    </xf>
    <xf numFmtId="164" fontId="15" fillId="4" borderId="3" applyAlignment="1" pivotButton="0" quotePrefix="0" xfId="0">
      <alignment horizontal="center" vertical="center" wrapText="1"/>
    </xf>
    <xf numFmtId="0" fontId="13" fillId="9" borderId="3" applyAlignment="1" pivotButton="0" quotePrefix="0" xfId="0">
      <alignment horizontal="center" vertical="center" wrapText="1"/>
    </xf>
    <xf numFmtId="164" fontId="14" fillId="9" borderId="3" applyAlignment="1" pivotButton="0" quotePrefix="0" xfId="0">
      <alignment horizontal="center" vertical="center" wrapText="1"/>
    </xf>
    <xf numFmtId="164" fontId="15" fillId="9" borderId="3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164" fontId="18" fillId="4" borderId="3" applyAlignment="1" pivotButton="0" quotePrefix="0" xfId="0">
      <alignment horizontal="center" vertical="center" wrapText="1"/>
    </xf>
    <xf numFmtId="164" fontId="18" fillId="9" borderId="3" applyAlignment="1" pivotButton="0" quotePrefix="0" xfId="0">
      <alignment horizontal="center" vertical="center" wrapText="1"/>
    </xf>
    <xf numFmtId="0" fontId="19" fillId="2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20" fillId="4" borderId="3" applyAlignment="1" pivotButton="0" quotePrefix="0" xfId="0">
      <alignment horizontal="center" vertical="center" wrapText="1"/>
    </xf>
    <xf numFmtId="0" fontId="21" fillId="7" borderId="3" applyAlignment="1" pivotButton="0" quotePrefix="0" xfId="0">
      <alignment horizontal="center" vertical="center" wrapText="1"/>
    </xf>
    <xf numFmtId="0" fontId="22" fillId="7" borderId="3" applyAlignment="1" pivotButton="0" quotePrefix="0" xfId="0">
      <alignment horizontal="center" vertical="center" wrapText="1"/>
    </xf>
    <xf numFmtId="0" fontId="23" fillId="7" borderId="3" applyAlignment="1" pivotButton="0" quotePrefix="0" xfId="0">
      <alignment horizontal="left" vertical="center" wrapText="1"/>
    </xf>
    <xf numFmtId="0" fontId="7" fillId="9" borderId="3" applyAlignment="1" pivotButton="0" quotePrefix="0" xfId="0">
      <alignment horizontal="center" vertical="center" wrapText="1"/>
    </xf>
    <xf numFmtId="0" fontId="20" fillId="9" borderId="3" applyAlignment="1" pivotButton="0" quotePrefix="0" xfId="0">
      <alignment horizontal="center" vertical="center" wrapText="1"/>
    </xf>
    <xf numFmtId="0" fontId="7" fillId="12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'2. Factorial'!$C$4</f>
              <strCache>
                <ptCount val="1"/>
                <pt idx="0">
                  <v>Iterativo
(O(n))</v>
                </pt>
              </strCache>
            </strRef>
          </tx>
          <spPr>
            <a:ln xmlns:a="http://schemas.openxmlformats.org/drawingml/2006/main" w="20160">
              <a:solidFill>
                <a:srgbClr val="1B3A6B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B3A6B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G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'2. Factorial'!$B$5:$B$10</f>
              <numCache>
                <formatCode>General</formatCode>
                <ptCount val="6"/>
                <pt idx="0">
                  <v>5</v>
                </pt>
                <pt idx="1">
                  <v>10</v>
                </pt>
                <pt idx="2">
                  <v>15</v>
                </pt>
                <pt idx="3">
                  <v>20</v>
                </pt>
                <pt idx="4">
                  <v>25</v>
                </pt>
                <pt idx="5">
                  <v>30</v>
                </pt>
              </numCache>
            </numRef>
          </cat>
          <val>
            <numRef>
              <f>'2. Factorial'!$C$5:$C$10</f>
              <numCache>
                <formatCode>#,##0.000000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  <smooth val="1"/>
        </ser>
        <ser>
          <idx val="1"/>
          <order val="1"/>
          <tx>
            <strRef>
              <f>'2. Factorial'!$D$4</f>
              <strCache>
                <ptCount val="1"/>
                <pt idx="0">
                  <v>Recursivo
(O(n))</v>
                </pt>
              </strCache>
            </strRef>
          </tx>
          <spPr>
            <a:ln xmlns:a="http://schemas.openxmlformats.org/drawingml/2006/main" w="20160">
              <a:solidFill>
                <a:srgbClr val="C0392B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G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'2. Factorial'!$B$5:$B$10</f>
              <numCache>
                <formatCode>General</formatCode>
                <ptCount val="6"/>
                <pt idx="0">
                  <v>5</v>
                </pt>
                <pt idx="1">
                  <v>10</v>
                </pt>
                <pt idx="2">
                  <v>15</v>
                </pt>
                <pt idx="3">
                  <v>20</v>
                </pt>
                <pt idx="4">
                  <v>25</v>
                </pt>
                <pt idx="5">
                  <v>30</v>
                </pt>
              </numCache>
            </numRef>
          </cat>
          <val>
            <numRef>
              <f>'2. Factorial'!$D$5:$D$10</f>
              <numCache>
                <formatCode>#,##0.000000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5494455"/>
        <axId val="39892230"/>
      </lineChart>
      <catAx>
        <axId val="4549445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  <a:endParaRPr lang="en-GT"/>
          </a:p>
        </txPr>
        <crossAx val="39892230"/>
        <crosses val="autoZero"/>
        <auto val="1"/>
        <lblAlgn val="ctr"/>
        <lblOffset val="100"/>
        <noMultiLvlLbl val="0"/>
      </catAx>
      <valAx>
        <axId val="3989223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0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  <a:endParaRPr lang="en-GT"/>
          </a:p>
        </txPr>
        <crossAx val="45494455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GT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'3. Fibonacci'!$C$4</f>
              <strCache>
                <ptCount val="1"/>
                <pt idx="0">
                  <v>Iterativo
(O(n))</v>
                </pt>
              </strCache>
            </strRef>
          </tx>
          <spPr>
            <a:ln xmlns:a="http://schemas.openxmlformats.org/drawingml/2006/main" w="20160">
              <a:solidFill>
                <a:srgbClr val="1B3A6B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B3A6B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G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'3. Fibonacci'!$B$5:$B$10</f>
              <numCache>
                <formatCode>General</formatCode>
                <ptCount val="6"/>
                <pt idx="0">
                  <v>5</v>
                </pt>
                <pt idx="1">
                  <v>10</v>
                </pt>
                <pt idx="2">
                  <v>15</v>
                </pt>
                <pt idx="3">
                  <v>20</v>
                </pt>
                <pt idx="4">
                  <v>25</v>
                </pt>
                <pt idx="5">
                  <v>30</v>
                </pt>
              </numCache>
            </numRef>
          </cat>
          <val>
            <numRef>
              <f>'3. Fibonacci'!$C$5:$C$10</f>
              <numCache>
                <formatCode>#,##0.000000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  <smooth val="1"/>
        </ser>
        <ser>
          <idx val="1"/>
          <order val="1"/>
          <tx>
            <strRef>
              <f>'3. Fibonacci'!$D$4</f>
              <strCache>
                <ptCount val="1"/>
                <pt idx="0">
                  <v>Recursivo
(O(2^n))</v>
                </pt>
              </strCache>
            </strRef>
          </tx>
          <spPr>
            <a:ln xmlns:a="http://schemas.openxmlformats.org/drawingml/2006/main" w="20160">
              <a:solidFill>
                <a:srgbClr val="C0392B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G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'3. Fibonacci'!$B$5:$B$10</f>
              <numCache>
                <formatCode>General</formatCode>
                <ptCount val="6"/>
                <pt idx="0">
                  <v>5</v>
                </pt>
                <pt idx="1">
                  <v>10</v>
                </pt>
                <pt idx="2">
                  <v>15</v>
                </pt>
                <pt idx="3">
                  <v>20</v>
                </pt>
                <pt idx="4">
                  <v>25</v>
                </pt>
                <pt idx="5">
                  <v>30</v>
                </pt>
              </numCache>
            </numRef>
          </cat>
          <val>
            <numRef>
              <f>'3. Fibonacci'!$D$5:$D$10</f>
              <numCache>
                <formatCode>#,##0.000000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18528611"/>
        <axId val="59467831"/>
      </lineChart>
      <catAx>
        <axId val="1852861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  <a:endParaRPr lang="en-GT"/>
          </a:p>
        </txPr>
        <crossAx val="59467831"/>
        <crosses val="autoZero"/>
        <auto val="1"/>
        <lblAlgn val="ctr"/>
        <lblOffset val="100"/>
        <noMultiLvlLbl val="0"/>
      </catAx>
      <valAx>
        <axId val="5946783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0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  <a:endParaRPr lang="en-GT"/>
          </a:p>
        </txPr>
        <crossAx val="18528611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GT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'4. Busqueda Lineal'!$C$4</f>
              <strCache>
                <ptCount val="1"/>
                <pt idx="0">
                  <v>Iterativo
(O(n))</v>
                </pt>
              </strCache>
            </strRef>
          </tx>
          <spPr>
            <a:ln xmlns:a="http://schemas.openxmlformats.org/drawingml/2006/main" w="20160">
              <a:solidFill>
                <a:srgbClr val="1B3A6B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B3A6B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G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'4. Busqueda Lineal'!$B$5:$B$9</f>
              <numCache>
                <formatCode>General</formatCode>
                <ptCount val="5"/>
                <pt idx="0">
                  <v>100</v>
                </pt>
                <pt idx="1">
                  <v>500</v>
                </pt>
                <pt idx="2">
                  <v>1000</v>
                </pt>
                <pt idx="3">
                  <v>5000</v>
                </pt>
                <pt idx="4">
                  <v>10000</v>
                </pt>
              </numCache>
            </numRef>
          </cat>
          <val>
            <numRef>
              <f>'4. Busqueda Lineal'!$C$5:$C$9</f>
              <numCache>
                <formatCode>#,##0.000000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ser>
          <idx val="1"/>
          <order val="1"/>
          <tx>
            <strRef>
              <f>'4. Busqueda Lineal'!$D$4</f>
              <strCache>
                <ptCount val="1"/>
                <pt idx="0">
                  <v>Recursivo
(O(n))</v>
                </pt>
              </strCache>
            </strRef>
          </tx>
          <spPr>
            <a:ln xmlns:a="http://schemas.openxmlformats.org/drawingml/2006/main" w="20160">
              <a:solidFill>
                <a:srgbClr val="C0392B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G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'4. Busqueda Lineal'!$B$5:$B$9</f>
              <numCache>
                <formatCode>General</formatCode>
                <ptCount val="5"/>
                <pt idx="0">
                  <v>100</v>
                </pt>
                <pt idx="1">
                  <v>500</v>
                </pt>
                <pt idx="2">
                  <v>1000</v>
                </pt>
                <pt idx="3">
                  <v>5000</v>
                </pt>
                <pt idx="4">
                  <v>10000</v>
                </pt>
              </numCache>
            </numRef>
          </cat>
          <val>
            <numRef>
              <f>'4. Busqueda Lineal'!$D$5:$D$9</f>
              <numCache>
                <formatCode>#,##0.000000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91784547"/>
        <axId val="22378713"/>
      </lineChart>
      <catAx>
        <axId val="9178454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  <a:endParaRPr lang="en-GT"/>
          </a:p>
        </txPr>
        <crossAx val="22378713"/>
        <crosses val="autoZero"/>
        <auto val="1"/>
        <lblAlgn val="ctr"/>
        <lblOffset val="100"/>
        <noMultiLvlLbl val="0"/>
      </catAx>
      <valAx>
        <axId val="2237871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0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  <a:endParaRPr lang="en-GT"/>
          </a:p>
        </txPr>
        <crossAx val="91784547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GT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'5. Burbuja'!$C$4</f>
              <strCache>
                <ptCount val="1"/>
                <pt idx="0">
                  <v>Iterativo
(O(n^2))</v>
                </pt>
              </strCache>
            </strRef>
          </tx>
          <spPr>
            <a:ln xmlns:a="http://schemas.openxmlformats.org/drawingml/2006/main" w="20160">
              <a:solidFill>
                <a:srgbClr val="1B3A6B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B3A6B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G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'5. Burbuja'!$B$5:$B$9</f>
              <numCache>
                <formatCode>General</formatCode>
                <ptCount val="5"/>
                <pt idx="0">
                  <v>100</v>
                </pt>
                <pt idx="1">
                  <v>500</v>
                </pt>
                <pt idx="2">
                  <v>1000</v>
                </pt>
                <pt idx="3">
                  <v>5000</v>
                </pt>
                <pt idx="4">
                  <v>10000</v>
                </pt>
              </numCache>
            </numRef>
          </cat>
          <val>
            <numRef>
              <f>'5. Burbuja'!$C$5:$C$9</f>
              <numCache>
                <formatCode>#,##0.000000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ser>
          <idx val="1"/>
          <order val="1"/>
          <tx>
            <strRef>
              <f>'5. Burbuja'!$D$4</f>
              <strCache>
                <ptCount val="1"/>
                <pt idx="0">
                  <v>Recursivo
(O(n^2))</v>
                </pt>
              </strCache>
            </strRef>
          </tx>
          <spPr>
            <a:ln xmlns:a="http://schemas.openxmlformats.org/drawingml/2006/main" w="20160">
              <a:solidFill>
                <a:srgbClr val="C0392B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G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'5. Burbuja'!$B$5:$B$9</f>
              <numCache>
                <formatCode>General</formatCode>
                <ptCount val="5"/>
                <pt idx="0">
                  <v>100</v>
                </pt>
                <pt idx="1">
                  <v>500</v>
                </pt>
                <pt idx="2">
                  <v>1000</v>
                </pt>
                <pt idx="3">
                  <v>5000</v>
                </pt>
                <pt idx="4">
                  <v>10000</v>
                </pt>
              </numCache>
            </numRef>
          </cat>
          <val>
            <numRef>
              <f>'5. Burbuja'!$D$5:$D$9</f>
              <numCache>
                <formatCode>#,##0.000000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11551171"/>
        <axId val="96248341"/>
      </lineChart>
      <catAx>
        <axId val="1155117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  <a:endParaRPr lang="en-GT"/>
          </a:p>
        </txPr>
        <crossAx val="96248341"/>
        <crosses val="autoZero"/>
        <auto val="1"/>
        <lblAlgn val="ctr"/>
        <lblOffset val="100"/>
        <noMultiLvlLbl val="0"/>
      </catAx>
      <valAx>
        <axId val="9624834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0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  <a:endParaRPr lang="en-GT"/>
          </a:p>
        </txPr>
        <crossAx val="11551171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GT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1</row>
      <rowOff>0</rowOff>
    </from>
    <to>
      <col>19</col>
      <colOff>555120</colOff>
      <row>19</row>
      <rowOff>24120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0</colOff>
      <row>1</row>
      <rowOff>0</rowOff>
    </from>
    <to>
      <col>19</col>
      <colOff>555120</colOff>
      <row>19</row>
      <rowOff>24120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5</col>
      <colOff>0</colOff>
      <row>1</row>
      <rowOff>0</rowOff>
    </from>
    <to>
      <col>19</col>
      <colOff>555120</colOff>
      <row>19</row>
      <rowOff>81000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5</col>
      <colOff>0</colOff>
      <row>1</row>
      <rowOff>0</rowOff>
    </from>
    <to>
      <col>19</col>
      <colOff>555120</colOff>
      <row>19</row>
      <rowOff>81000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tabSelected="1" zoomScaleNormal="100" workbookViewId="0">
      <selection activeCell="A1" sqref="A1"/>
    </sheetView>
  </sheetViews>
  <sheetFormatPr baseColWidth="10" defaultColWidth="8.6640625" defaultRowHeight="15" customHeight="1"/>
  <cols>
    <col width="3" customWidth="1" style="10" min="1" max="1"/>
    <col width="28" customWidth="1" style="10" min="2" max="2"/>
    <col width="60" customWidth="1" style="10" min="3" max="3"/>
    <col width="20" customWidth="1" style="10" min="4" max="4"/>
  </cols>
  <sheetData>
    <row r="1" ht="6" customHeight="1" s="10"/>
    <row r="2" ht="36" customHeight="1" s="10">
      <c r="B2" s="14" t="inlineStr">
        <is>
          <t>GUIA DE USO — Ejemplo de Registro de Tiempos de Ejecucion</t>
        </is>
      </c>
      <c r="C2" s="45" t="n"/>
      <c r="D2" s="45" t="n"/>
    </row>
    <row r="3" ht="21.75" customHeight="1" s="10">
      <c r="B3" s="13" t="inlineStr">
        <is>
          <t>Estructura de Datos | Ing. Brandon Chitay | Universidad Da Vinci de Guatemala</t>
        </is>
      </c>
      <c r="C3" s="45" t="n"/>
      <c r="D3" s="45" t="n"/>
    </row>
    <row r="4" ht="9.75" customHeight="1" s="10"/>
    <row r="5" ht="27.75" customHeight="1" s="10">
      <c r="B5" s="12" t="inlineStr">
        <is>
          <t>PROPOSITO DEL ARCHIVO</t>
        </is>
      </c>
      <c r="C5" s="11" t="inlineStr">
        <is>
          <t>Este archivo te muestra EXACTAMENTE como registrar tus tiempos, calcular promedios y generar las graficas. Los datos de muestra son ficticios (realistas pero inventados). Reemplazalos con los tiempos reales que obtengas al ejecutar tus algoritmos en Java.</t>
        </is>
      </c>
      <c r="D5" s="45" t="n"/>
    </row>
    <row r="6" ht="60" customHeight="1" s="10">
      <c r="B6" s="46" t="n"/>
    </row>
    <row r="7" ht="6" customHeight="1" s="10"/>
    <row r="8" ht="27.75" customHeight="1" s="10">
      <c r="B8" s="12" t="inlineStr">
        <is>
          <t>ESTRUCTURA DEL LIBRO</t>
        </is>
      </c>
      <c r="C8" s="9" t="inlineStr">
        <is>
      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      </is>
      </c>
      <c r="D8" s="45" t="n"/>
    </row>
    <row r="9" ht="117.75" customHeight="1" s="10">
      <c r="B9" s="46" t="n"/>
    </row>
    <row r="10" ht="6" customHeight="1" s="10"/>
    <row r="11" ht="27.75" customHeight="1" s="10">
      <c r="B11" s="12" t="inlineStr">
        <is>
          <t>CODIGO DE COLORES</t>
        </is>
      </c>
      <c r="C11" s="9" t="inlineStr">
        <is>
          <t>Fondo AMARILLO → Celdas que TU debes rellenar con tus mediciones reales
Fondo VERDE → Formula automatica (promedio), NO la edites
Fondo AZUL → Encabezado, no modificar
Fondo GRIS → Dato de referencia calculado automaticamente</t>
        </is>
      </c>
      <c r="D11" s="45" t="n"/>
    </row>
    <row r="12" ht="81.75" customHeight="1" s="10">
      <c r="B12" s="46" t="n"/>
    </row>
    <row r="13" ht="6" customHeight="1" s="10"/>
    <row r="14" ht="27.75" customHeight="1" s="10">
      <c r="B14" s="12" t="inlineStr">
        <is>
          <t>COMO MEDIR EN JAVA</t>
        </is>
      </c>
      <c r="C14" s="8" t="inlineStr">
        <is>
          <t>long inicio  = System.nanoTime();
// ... tu algoritmo aqui ...
long fin     = System.nanoTime();
double ms    = (fin - inicio) / 1_000_000.0;
Repite 5 veces y registra cada resultado en las columnas Ej.1 a Ej.5.</t>
        </is>
      </c>
      <c r="D14" s="45" t="n"/>
    </row>
    <row r="15" ht="99.75" customHeight="1" s="10">
      <c r="B15" s="46" t="n"/>
    </row>
    <row r="16" ht="6" customHeight="1" s="10"/>
    <row r="17" ht="27.75" customHeight="1" s="10">
      <c r="B17" s="12" t="inlineStr">
        <is>
          <t>COMO CREAR LA GRAFICA</t>
        </is>
      </c>
      <c r="C17" s="11" t="inlineStr">
        <is>
      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      </is>
      </c>
      <c r="D17" s="45" t="n"/>
    </row>
    <row r="18" ht="99.75" customHeight="1" s="10">
      <c r="B18" s="46" t="n"/>
    </row>
    <row r="19" ht="6" customHeight="1" s="10"/>
    <row r="20" ht="27.75" customHeight="1" s="10">
      <c r="B20" s="12" t="inlineStr">
        <is>
          <t>PREGUNTAS CLAVE</t>
        </is>
      </c>
      <c r="C20" s="9" t="inlineStr">
        <is>
          <t>Fibonacci: ¿por que el recursivo es tan mas lento que el iterativo?
Burbuja: ¿cuanto aumenta el tiempo al duplicar n? (pista: 4x)
¿Cual algoritmo es el mas rapido? ¿El mas lento?
¿Vale la pena la elegancia del codigo recursivo para Fibonacci?</t>
        </is>
      </c>
      <c r="D20" s="45" t="n"/>
    </row>
    <row r="21" ht="81.75" customHeight="1" s="10">
      <c r="B21" s="46" t="n"/>
    </row>
    <row r="22" ht="6" customHeight="1" s="10"/>
  </sheetData>
  <mergeCells count="20">
    <mergeCell ref="C6:D6"/>
    <mergeCell ref="C15:D15"/>
    <mergeCell ref="C5:D5"/>
    <mergeCell ref="B17:B18"/>
    <mergeCell ref="C14:D14"/>
    <mergeCell ref="B8:B9"/>
    <mergeCell ref="B11:B12"/>
    <mergeCell ref="B14:B15"/>
    <mergeCell ref="C20:D20"/>
    <mergeCell ref="C9:D9"/>
    <mergeCell ref="C12:D12"/>
    <mergeCell ref="C21:D21"/>
    <mergeCell ref="C11:D11"/>
    <mergeCell ref="B20:B21"/>
    <mergeCell ref="C17:D17"/>
    <mergeCell ref="B5:B6"/>
    <mergeCell ref="C8:D8"/>
    <mergeCell ref="B3:D3"/>
    <mergeCell ref="C18:D18"/>
    <mergeCell ref="B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showGridLines="0" zoomScaleNormal="100" workbookViewId="0">
      <pane ySplit="2" topLeftCell="A3" activePane="bottomLeft" state="frozen"/>
      <selection pane="bottomLeft" activeCell="N40" sqref="N40"/>
    </sheetView>
  </sheetViews>
  <sheetFormatPr baseColWidth="10" defaultColWidth="8.6640625" defaultRowHeight="15" customHeight="1"/>
  <cols>
    <col width="3" customWidth="1" style="10" min="1" max="1"/>
    <col width="22" customWidth="1" style="10" min="2" max="2"/>
    <col width="14" customWidth="1" style="10" min="3" max="3"/>
    <col width="12" customWidth="1" style="10" min="4" max="9"/>
    <col width="14" customWidth="1" style="10" min="10" max="10"/>
    <col width="3" customWidth="1" style="10" min="11" max="11"/>
  </cols>
  <sheetData>
    <row r="1" ht="33.75" customHeight="1" s="10">
      <c r="B1" s="7" t="inlineStr">
        <is>
          <t>HOJA 1 — Datos Crudos | Tiempos de Ejecucion (ms)</t>
        </is>
      </c>
      <c r="C1" s="45" t="n"/>
      <c r="D1" s="45" t="n"/>
      <c r="E1" s="45" t="n"/>
      <c r="F1" s="45" t="n"/>
      <c r="G1" s="45" t="n"/>
      <c r="H1" s="45" t="n"/>
      <c r="I1" s="45" t="n"/>
    </row>
    <row r="2" ht="36" customHeight="1" s="10">
      <c r="B2" s="15" t="inlineStr">
        <is>
          <t>Algoritmo</t>
        </is>
      </c>
      <c r="C2" s="15" t="inlineStr">
        <is>
          <t>Version</t>
        </is>
      </c>
      <c r="D2" s="15" t="inlineStr">
        <is>
          <t>n</t>
        </is>
      </c>
      <c r="E2" s="15" t="inlineStr">
        <is>
          <t>Ej. 1 (ms)</t>
        </is>
      </c>
      <c r="F2" s="15" t="inlineStr">
        <is>
          <t>Ej. 2 (ms)</t>
        </is>
      </c>
      <c r="G2" s="15" t="inlineStr">
        <is>
          <t>Ej. 3 (ms)</t>
        </is>
      </c>
      <c r="H2" s="15" t="inlineStr">
        <is>
          <t>Ej. 4 (ms)</t>
        </is>
      </c>
      <c r="I2" s="15" t="inlineStr">
        <is>
          <t>Ej. 5 (ms)</t>
        </is>
      </c>
      <c r="J2" s="16" t="inlineStr">
        <is>
          <t>PROMEDIO (ms)</t>
        </is>
      </c>
    </row>
    <row r="3" ht="18" customHeight="1" s="10">
      <c r="B3" s="17" t="inlineStr">
        <is>
          <t>A1 - Factorial</t>
        </is>
      </c>
      <c r="C3" s="18" t="inlineStr">
        <is>
          <t>Iterativo</t>
        </is>
      </c>
      <c r="D3" s="19" t="n">
        <v>5</v>
      </c>
      <c r="E3" s="20" t="n">
        <v>0.497403</v>
      </c>
      <c r="F3" s="20" t="n">
        <v>0.000684</v>
      </c>
      <c r="G3" s="20" t="n">
        <v>0.00044</v>
      </c>
      <c r="H3" s="20" t="n">
        <v>0.000393</v>
      </c>
      <c r="I3" s="20" t="n">
        <v>0.000384</v>
      </c>
      <c r="J3" s="21" t="n">
        <v>0.09986100000000001</v>
      </c>
    </row>
    <row r="4" ht="18" customHeight="1" s="10">
      <c r="B4" s="17" t="inlineStr">
        <is>
          <t>A1 - Factorial</t>
        </is>
      </c>
      <c r="C4" s="18" t="inlineStr">
        <is>
          <t>Iterativo</t>
        </is>
      </c>
      <c r="D4" s="19" t="n">
        <v>10</v>
      </c>
      <c r="E4" s="20" t="n">
        <v>0.001221</v>
      </c>
      <c r="F4" s="20" t="n">
        <v>0.000644</v>
      </c>
      <c r="G4" s="20" t="n">
        <v>0.000621</v>
      </c>
      <c r="H4" s="20" t="n">
        <v>0.000593</v>
      </c>
      <c r="I4" s="20" t="n">
        <v>0.000604</v>
      </c>
      <c r="J4" s="21" t="n">
        <v>0.000737</v>
      </c>
    </row>
    <row r="5" ht="18" customHeight="1" s="10">
      <c r="B5" s="17" t="inlineStr">
        <is>
          <t>A1 - Factorial</t>
        </is>
      </c>
      <c r="C5" s="18" t="inlineStr">
        <is>
          <t>Iterativo</t>
        </is>
      </c>
      <c r="D5" s="19" t="n">
        <v>15</v>
      </c>
      <c r="E5" s="20" t="n">
        <v>0.001237</v>
      </c>
      <c r="F5" s="20" t="n">
        <v>0.0006890000000000001</v>
      </c>
      <c r="G5" s="20" t="n">
        <v>0.000656</v>
      </c>
      <c r="H5" s="20" t="n">
        <v>0.000626</v>
      </c>
      <c r="I5" s="20" t="n">
        <v>0.000605</v>
      </c>
      <c r="J5" s="21" t="n">
        <v>0.000763</v>
      </c>
    </row>
    <row r="6" ht="18" customHeight="1" s="10">
      <c r="B6" s="17" t="inlineStr">
        <is>
          <t>A1 - Factorial</t>
        </is>
      </c>
      <c r="C6" s="18" t="inlineStr">
        <is>
          <t>Iterativo</t>
        </is>
      </c>
      <c r="D6" s="19" t="n">
        <v>20</v>
      </c>
      <c r="E6" s="20" t="n">
        <v>0.001216</v>
      </c>
      <c r="F6" s="20" t="n">
        <v>0.000694</v>
      </c>
      <c r="G6" s="20" t="n">
        <v>0.000605</v>
      </c>
      <c r="H6" s="20" t="n">
        <v>0.000596</v>
      </c>
      <c r="I6" s="20" t="n">
        <v>0.000569</v>
      </c>
      <c r="J6" s="21" t="n">
        <v>0.000736</v>
      </c>
    </row>
    <row r="7" ht="18" customHeight="1" s="10">
      <c r="B7" s="17" t="inlineStr">
        <is>
          <t>A1 - Factorial</t>
        </is>
      </c>
      <c r="C7" s="18" t="inlineStr">
        <is>
          <t>Iterativo</t>
        </is>
      </c>
      <c r="D7" s="19" t="n">
        <v>25</v>
      </c>
      <c r="E7" s="20" t="n"/>
      <c r="F7" s="20" t="n"/>
      <c r="G7" s="20" t="n"/>
      <c r="H7" s="20" t="n"/>
      <c r="I7" s="20" t="n"/>
      <c r="J7" s="21" t="n"/>
    </row>
    <row r="8" ht="18" customHeight="1" s="10">
      <c r="B8" s="17" t="inlineStr">
        <is>
          <t>A1 - Factorial</t>
        </is>
      </c>
      <c r="C8" s="18" t="inlineStr">
        <is>
          <t>Iterativo</t>
        </is>
      </c>
      <c r="D8" s="19" t="n">
        <v>30</v>
      </c>
      <c r="E8" s="20" t="n"/>
      <c r="F8" s="20" t="n"/>
      <c r="G8" s="20" t="n"/>
      <c r="H8" s="20" t="n"/>
      <c r="I8" s="20" t="n"/>
      <c r="J8" s="21" t="n"/>
    </row>
    <row r="9" ht="18" customHeight="1" s="10">
      <c r="B9" s="22" t="inlineStr">
        <is>
          <t>A1 - Factorial</t>
        </is>
      </c>
      <c r="C9" s="23" t="inlineStr">
        <is>
          <t>Recursivo</t>
        </is>
      </c>
      <c r="D9" s="24" t="n">
        <v>5</v>
      </c>
      <c r="E9" s="20" t="n">
        <v>0.004861</v>
      </c>
      <c r="F9" s="20" t="n">
        <v>0.001291</v>
      </c>
      <c r="G9" s="20" t="n">
        <v>0.00128</v>
      </c>
      <c r="H9" s="20" t="n">
        <v>0.001244</v>
      </c>
      <c r="I9" s="20" t="n">
        <v>0.001228</v>
      </c>
      <c r="J9" s="21" t="n">
        <v>0.001981</v>
      </c>
    </row>
    <row r="10" ht="18" customHeight="1" s="10">
      <c r="B10" s="22" t="inlineStr">
        <is>
          <t>A1 - Factorial</t>
        </is>
      </c>
      <c r="C10" s="23" t="inlineStr">
        <is>
          <t>Recursivo</t>
        </is>
      </c>
      <c r="D10" s="24" t="n">
        <v>10</v>
      </c>
      <c r="E10" s="20" t="n">
        <v>0.002625</v>
      </c>
      <c r="F10" s="20" t="n">
        <v>0.002172</v>
      </c>
      <c r="G10" s="20" t="n">
        <v>0.002131</v>
      </c>
      <c r="H10" s="20" t="n">
        <v>0.002128</v>
      </c>
      <c r="I10" s="20" t="n">
        <v>0.002017</v>
      </c>
      <c r="J10" s="21" t="n">
        <v>0.002215</v>
      </c>
    </row>
    <row r="11" ht="18" customHeight="1" s="10">
      <c r="B11" s="22" t="inlineStr">
        <is>
          <t>A1 - Factorial</t>
        </is>
      </c>
      <c r="C11" s="23" t="inlineStr">
        <is>
          <t>Recursivo</t>
        </is>
      </c>
      <c r="D11" s="24" t="n">
        <v>15</v>
      </c>
      <c r="E11" s="20" t="n">
        <v>0.003005</v>
      </c>
      <c r="F11" s="20" t="n">
        <v>0.004897</v>
      </c>
      <c r="G11" s="20" t="n">
        <v>0.002882</v>
      </c>
      <c r="H11" s="20" t="n">
        <v>0.002569</v>
      </c>
      <c r="I11" s="20" t="n">
        <v>0.002534</v>
      </c>
      <c r="J11" s="21" t="n">
        <v>0.003177</v>
      </c>
    </row>
    <row r="12" ht="18" customHeight="1" s="10">
      <c r="B12" s="22" t="inlineStr">
        <is>
          <t>A1 - Factorial</t>
        </is>
      </c>
      <c r="C12" s="23" t="inlineStr">
        <is>
          <t>Recursivo</t>
        </is>
      </c>
      <c r="D12" s="24" t="n">
        <v>20</v>
      </c>
      <c r="E12" s="20" t="n">
        <v>0.003776</v>
      </c>
      <c r="F12" s="20" t="n">
        <v>0.003236</v>
      </c>
      <c r="G12" s="20" t="n">
        <v>0.003347</v>
      </c>
      <c r="H12" s="20" t="n">
        <v>0.027752</v>
      </c>
      <c r="I12" s="20" t="n">
        <v>0.003662</v>
      </c>
      <c r="J12" s="21" t="n">
        <v>0.008355</v>
      </c>
    </row>
    <row r="13" ht="18" customHeight="1" s="10">
      <c r="B13" s="22" t="inlineStr">
        <is>
          <t>A1 - Factorial</t>
        </is>
      </c>
      <c r="C13" s="23" t="inlineStr">
        <is>
          <t>Recursivo</t>
        </is>
      </c>
      <c r="D13" s="24" t="n">
        <v>25</v>
      </c>
      <c r="E13" s="20" t="n"/>
      <c r="F13" s="20" t="n"/>
      <c r="G13" s="20" t="n"/>
      <c r="H13" s="20" t="n"/>
      <c r="I13" s="20" t="n"/>
      <c r="J13" s="21" t="n"/>
    </row>
    <row r="14" ht="18" customHeight="1" s="10">
      <c r="B14" s="22" t="inlineStr">
        <is>
          <t>A1 - Factorial</t>
        </is>
      </c>
      <c r="C14" s="23" t="inlineStr">
        <is>
          <t>Recursivo</t>
        </is>
      </c>
      <c r="D14" s="24" t="n">
        <v>30</v>
      </c>
      <c r="E14" s="20" t="n"/>
      <c r="F14" s="20" t="n"/>
      <c r="G14" s="20" t="n"/>
      <c r="H14" s="20" t="n"/>
      <c r="I14" s="20" t="n"/>
      <c r="J14" s="21" t="n"/>
    </row>
    <row r="15"/>
    <row r="16" ht="18" customHeight="1" s="10">
      <c r="B16" s="17" t="inlineStr">
        <is>
          <t>A2 - Fibonacci</t>
        </is>
      </c>
      <c r="C16" s="18" t="inlineStr">
        <is>
          <t>Iterativo</t>
        </is>
      </c>
      <c r="D16" s="19" t="n">
        <v>5</v>
      </c>
      <c r="E16" s="20" t="n">
        <v>0.590192</v>
      </c>
      <c r="F16" s="20" t="n">
        <v>0.000672</v>
      </c>
      <c r="G16" s="20" t="n">
        <v>0.00038</v>
      </c>
      <c r="H16" s="20" t="n">
        <v>0.000362</v>
      </c>
      <c r="I16" s="20" t="n">
        <v>0.000347</v>
      </c>
      <c r="J16" s="21" t="n">
        <v>0.118391</v>
      </c>
    </row>
    <row r="17" ht="18" customHeight="1" s="10">
      <c r="B17" s="17" t="inlineStr">
        <is>
          <t>A2 - Fibonacci</t>
        </is>
      </c>
      <c r="C17" s="18" t="inlineStr">
        <is>
          <t>Iterativo</t>
        </is>
      </c>
      <c r="D17" s="19" t="n">
        <v>10</v>
      </c>
      <c r="E17" s="20" t="n">
        <v>0.001621</v>
      </c>
      <c r="F17" s="20" t="n">
        <v>0.000911</v>
      </c>
      <c r="G17" s="20" t="n">
        <v>0.000681</v>
      </c>
      <c r="H17" s="20" t="n">
        <v>0.000659</v>
      </c>
      <c r="I17" s="20" t="n">
        <v>0.000526</v>
      </c>
      <c r="J17" s="21" t="n">
        <v>0.00088</v>
      </c>
    </row>
    <row r="18" ht="18" customHeight="1" s="10">
      <c r="B18" s="17" t="inlineStr">
        <is>
          <t>A2 - Fibonacci</t>
        </is>
      </c>
      <c r="C18" s="18" t="inlineStr">
        <is>
          <t>Iterativo</t>
        </is>
      </c>
      <c r="D18" s="19" t="n">
        <v>15</v>
      </c>
      <c r="E18" s="20" t="n">
        <v>0.001561</v>
      </c>
      <c r="F18" s="20" t="n">
        <v>0.000862</v>
      </c>
      <c r="G18" s="20" t="n">
        <v>0.027589</v>
      </c>
      <c r="H18" s="20" t="n">
        <v>0.000685</v>
      </c>
      <c r="I18" s="20" t="n">
        <v>0.000519</v>
      </c>
      <c r="J18" s="21" t="n">
        <v>0.006243</v>
      </c>
    </row>
    <row r="19" ht="18" customHeight="1" s="10">
      <c r="B19" s="17" t="inlineStr">
        <is>
          <t>A2 - Fibonacci</t>
        </is>
      </c>
      <c r="C19" s="18" t="inlineStr">
        <is>
          <t>Iterativo</t>
        </is>
      </c>
      <c r="D19" s="19" t="n">
        <v>20</v>
      </c>
      <c r="E19" s="20" t="n">
        <v>0.001424</v>
      </c>
      <c r="F19" s="20" t="n">
        <v>0.0006489999999999999</v>
      </c>
      <c r="G19" s="20" t="n">
        <v>0.000568</v>
      </c>
      <c r="H19" s="20" t="n">
        <v>0.000592</v>
      </c>
      <c r="I19" s="20" t="n">
        <v>0.00058</v>
      </c>
      <c r="J19" s="21" t="n">
        <v>0.000763</v>
      </c>
    </row>
    <row r="20" ht="18" customHeight="1" s="10">
      <c r="B20" s="17" t="inlineStr">
        <is>
          <t>A2 - Fibonacci</t>
        </is>
      </c>
      <c r="C20" s="18" t="inlineStr">
        <is>
          <t>Iterativo</t>
        </is>
      </c>
      <c r="D20" s="19" t="n">
        <v>25</v>
      </c>
      <c r="E20" s="20" t="n">
        <v>0.001807</v>
      </c>
      <c r="F20" s="20" t="n">
        <v>0.000752</v>
      </c>
      <c r="G20" s="20" t="n">
        <v>0.000745</v>
      </c>
      <c r="H20" s="20" t="n">
        <v>0.000762</v>
      </c>
      <c r="I20" s="20" t="n">
        <v>0.000711</v>
      </c>
      <c r="J20" s="21" t="n">
        <v>0.000955</v>
      </c>
    </row>
    <row r="21" ht="18" customHeight="1" s="10">
      <c r="B21" s="17" t="inlineStr">
        <is>
          <t>A2 - Fibonacci</t>
        </is>
      </c>
      <c r="C21" s="18" t="inlineStr">
        <is>
          <t>Iterativo</t>
        </is>
      </c>
      <c r="D21" s="19" t="n">
        <v>30</v>
      </c>
      <c r="E21" s="20" t="n">
        <v>0.001619</v>
      </c>
      <c r="F21" s="20" t="n">
        <v>0.000786</v>
      </c>
      <c r="G21" s="20" t="n">
        <v>0.000694</v>
      </c>
      <c r="H21" s="20" t="n">
        <v>0.00071</v>
      </c>
      <c r="I21" s="20" t="n">
        <v>0.000711</v>
      </c>
      <c r="J21" s="21" t="n">
        <v>0.000904</v>
      </c>
    </row>
    <row r="22" ht="18" customHeight="1" s="10">
      <c r="B22" s="22" t="inlineStr">
        <is>
          <t>A2 - Fibonacci</t>
        </is>
      </c>
      <c r="C22" s="23" t="inlineStr">
        <is>
          <t>Recursivo</t>
        </is>
      </c>
      <c r="D22" s="24" t="n">
        <v>5</v>
      </c>
      <c r="E22" s="20" t="n">
        <v>0.005282</v>
      </c>
      <c r="F22" s="20" t="n">
        <v>0.00135</v>
      </c>
      <c r="G22" s="20" t="n">
        <v>0.001326</v>
      </c>
      <c r="H22" s="20" t="n">
        <v>0.001383</v>
      </c>
      <c r="I22" s="20" t="n">
        <v>0.001272</v>
      </c>
      <c r="J22" s="21" t="n">
        <v>0.002123</v>
      </c>
    </row>
    <row r="23" ht="18" customHeight="1" s="10">
      <c r="B23" s="22" t="inlineStr">
        <is>
          <t>A2 - Fibonacci</t>
        </is>
      </c>
      <c r="C23" s="23" t="inlineStr">
        <is>
          <t>Recursivo</t>
        </is>
      </c>
      <c r="D23" s="24" t="n">
        <v>10</v>
      </c>
      <c r="E23" s="20" t="n">
        <v>0.01435</v>
      </c>
      <c r="F23" s="20" t="n">
        <v>0.016565</v>
      </c>
      <c r="G23" s="20" t="n">
        <v>0.058787</v>
      </c>
      <c r="H23" s="20" t="n">
        <v>0.015116</v>
      </c>
      <c r="I23" s="20" t="n">
        <v>0.014862</v>
      </c>
      <c r="J23" s="21" t="n">
        <v>0.023936</v>
      </c>
    </row>
    <row r="24" ht="18" customHeight="1" s="10">
      <c r="B24" s="22" t="inlineStr">
        <is>
          <t>A2 - Fibonacci</t>
        </is>
      </c>
      <c r="C24" s="23" t="inlineStr">
        <is>
          <t>Recursivo</t>
        </is>
      </c>
      <c r="D24" s="24" t="n">
        <v>15</v>
      </c>
      <c r="E24" s="20" t="n">
        <v>0.019663</v>
      </c>
      <c r="F24" s="20" t="n">
        <v>0.019311</v>
      </c>
      <c r="G24" s="20" t="n">
        <v>0.062683</v>
      </c>
      <c r="H24" s="20" t="n">
        <v>0.015406</v>
      </c>
      <c r="I24" s="20" t="n">
        <v>0.014886</v>
      </c>
      <c r="J24" s="21" t="n">
        <v>0.02639</v>
      </c>
    </row>
    <row r="25" ht="18" customHeight="1" s="10">
      <c r="B25" s="22" t="inlineStr">
        <is>
          <t>A2 - Fibonacci</t>
        </is>
      </c>
      <c r="C25" s="23" t="inlineStr">
        <is>
          <t>Recursivo</t>
        </is>
      </c>
      <c r="D25" s="24" t="n">
        <v>20</v>
      </c>
      <c r="E25" s="20" t="n">
        <v>76.231111</v>
      </c>
      <c r="F25" s="20" t="n">
        <v>0.159776</v>
      </c>
      <c r="G25" s="20" t="n">
        <v>0.159201</v>
      </c>
      <c r="H25" s="20" t="n">
        <v>0.108211</v>
      </c>
      <c r="I25" s="20" t="n">
        <v>0.036934</v>
      </c>
      <c r="J25" s="21" t="n">
        <v>15.339047</v>
      </c>
    </row>
    <row r="26" ht="18" customHeight="1" s="10">
      <c r="B26" s="22" t="inlineStr">
        <is>
          <t>A2 - Fibonacci</t>
        </is>
      </c>
      <c r="C26" s="23" t="inlineStr">
        <is>
          <t>Recursivo</t>
        </is>
      </c>
      <c r="D26" s="24" t="n">
        <v>25</v>
      </c>
      <c r="E26" s="20" t="n">
        <v>0.454433</v>
      </c>
      <c r="F26" s="20" t="n">
        <v>0.403327</v>
      </c>
      <c r="G26" s="20" t="n">
        <v>0.405852</v>
      </c>
      <c r="H26" s="20" t="n">
        <v>0.403199</v>
      </c>
      <c r="I26" s="20" t="n">
        <v>0.403199</v>
      </c>
      <c r="J26" s="21" t="n">
        <v>0.414002</v>
      </c>
    </row>
    <row r="27" ht="18" customHeight="1" s="10">
      <c r="B27" s="22" t="inlineStr">
        <is>
          <t>A2 - Fibonacci</t>
        </is>
      </c>
      <c r="C27" s="23" t="inlineStr">
        <is>
          <t>Recursivo</t>
        </is>
      </c>
      <c r="D27" s="24" t="n">
        <v>30</v>
      </c>
      <c r="E27" s="20" t="n">
        <v>4.533104</v>
      </c>
      <c r="F27" s="20" t="n">
        <v>4.526367</v>
      </c>
      <c r="G27" s="20" t="n">
        <v>4.515627</v>
      </c>
      <c r="H27" s="20" t="n">
        <v>4.492052</v>
      </c>
      <c r="I27" s="20" t="n">
        <v>4.489088</v>
      </c>
      <c r="J27" s="21" t="n">
        <v>4.511248</v>
      </c>
    </row>
    <row r="28"/>
    <row r="29" ht="18" customHeight="1" s="10">
      <c r="B29" s="17" t="inlineStr">
        <is>
          <t>A3 - Busqueda Lineal</t>
        </is>
      </c>
      <c r="C29" s="18" t="inlineStr">
        <is>
          <t>Iterativo</t>
        </is>
      </c>
      <c r="D29" s="19" t="n">
        <v>100</v>
      </c>
      <c r="E29" s="20" t="n">
        <v>0.517989</v>
      </c>
      <c r="F29" s="20" t="n">
        <v>0.001913</v>
      </c>
      <c r="G29" s="20" t="n">
        <v>0.001653</v>
      </c>
      <c r="H29" s="20" t="n">
        <v>0.001639</v>
      </c>
      <c r="I29" s="20" t="n">
        <v>0.001722</v>
      </c>
      <c r="J29" s="21" t="n">
        <v>0.104983</v>
      </c>
    </row>
    <row r="30" ht="18" customHeight="1" s="10">
      <c r="B30" s="17" t="inlineStr">
        <is>
          <t>A3 - Busqueda Lineal</t>
        </is>
      </c>
      <c r="C30" s="18" t="inlineStr">
        <is>
          <t>Iterativo</t>
        </is>
      </c>
      <c r="D30" s="19" t="n">
        <v>500</v>
      </c>
      <c r="E30" s="20" t="n">
        <v>0.010731</v>
      </c>
      <c r="F30" s="20" t="n">
        <v>0.010376</v>
      </c>
      <c r="G30" s="20" t="n">
        <v>0.008272</v>
      </c>
      <c r="H30" s="20" t="n">
        <v>0.008873000000000001</v>
      </c>
      <c r="I30" s="20" t="n">
        <v>0.008262</v>
      </c>
      <c r="J30" s="21" t="n">
        <v>0.009303000000000001</v>
      </c>
    </row>
    <row r="31" ht="18" customHeight="1" s="10">
      <c r="B31" s="17" t="inlineStr">
        <is>
          <t>A3 - Busqueda Lineal</t>
        </is>
      </c>
      <c r="C31" s="18" t="inlineStr">
        <is>
          <t>Iterativo</t>
        </is>
      </c>
      <c r="D31" s="19" t="n">
        <v>1000</v>
      </c>
      <c r="E31" s="20" t="n">
        <v>0.018488</v>
      </c>
      <c r="F31" s="20" t="n">
        <v>0.017007</v>
      </c>
      <c r="G31" s="20" t="n">
        <v>0.016764</v>
      </c>
      <c r="H31" s="20" t="n">
        <v>0.016728</v>
      </c>
      <c r="I31" s="20" t="n">
        <v>0.017464</v>
      </c>
      <c r="J31" s="21" t="n">
        <v>0.01729</v>
      </c>
    </row>
    <row r="32" ht="18" customHeight="1" s="10">
      <c r="B32" s="17" t="inlineStr">
        <is>
          <t>A3 - Busqueda Lineal</t>
        </is>
      </c>
      <c r="C32" s="18" t="inlineStr">
        <is>
          <t>Iterativo</t>
        </is>
      </c>
      <c r="D32" s="19" t="n">
        <v>5000</v>
      </c>
      <c r="E32" s="20" t="n">
        <v>0.073408</v>
      </c>
      <c r="F32" s="20" t="n">
        <v>0.071768</v>
      </c>
      <c r="G32" s="20" t="n">
        <v>0.073659</v>
      </c>
      <c r="H32" s="20" t="n">
        <v>0.08805</v>
      </c>
      <c r="I32" s="20" t="n">
        <v>0.07231</v>
      </c>
      <c r="J32" s="21" t="n">
        <v>0.075839</v>
      </c>
    </row>
    <row r="33" ht="18" customHeight="1" s="10">
      <c r="B33" s="17" t="inlineStr">
        <is>
          <t>A3 - Busqueda Lineal</t>
        </is>
      </c>
      <c r="C33" s="18" t="inlineStr">
        <is>
          <t>Iterativo</t>
        </is>
      </c>
      <c r="D33" s="19" t="n">
        <v>10000</v>
      </c>
      <c r="E33" s="20" t="n">
        <v>0.145752</v>
      </c>
      <c r="F33" s="20" t="n">
        <v>0.161027</v>
      </c>
      <c r="G33" s="20" t="n">
        <v>0.179742</v>
      </c>
      <c r="H33" s="20" t="n">
        <v>0.161717</v>
      </c>
      <c r="I33" s="20" t="n">
        <v>0.146606</v>
      </c>
      <c r="J33" s="21" t="n">
        <v>0.158969</v>
      </c>
    </row>
    <row r="34" ht="18" customHeight="1" s="10">
      <c r="B34" s="22" t="inlineStr">
        <is>
          <t>A3 - Busqueda Lineal</t>
        </is>
      </c>
      <c r="C34" s="23" t="inlineStr">
        <is>
          <t>Recursivo</t>
        </is>
      </c>
      <c r="D34" s="24" t="n">
        <v>100</v>
      </c>
      <c r="E34" s="20" t="n">
        <v>0.019928</v>
      </c>
      <c r="F34" s="20" t="n">
        <v>0.009379999999999999</v>
      </c>
      <c r="G34" s="20" t="n">
        <v>0.060426</v>
      </c>
      <c r="H34" s="20" t="n">
        <v>0.010417</v>
      </c>
      <c r="I34" s="20" t="n">
        <v>0.008151</v>
      </c>
      <c r="J34" s="21" t="n">
        <v>0.02166</v>
      </c>
    </row>
    <row r="35" ht="18" customHeight="1" s="10">
      <c r="B35" s="22" t="inlineStr">
        <is>
          <t>A3 - Busqueda Lineal</t>
        </is>
      </c>
      <c r="C35" s="23" t="inlineStr">
        <is>
          <t>Recursivo</t>
        </is>
      </c>
      <c r="D35" s="24" t="n">
        <v>500</v>
      </c>
      <c r="E35" s="20" t="n">
        <v>0.026553</v>
      </c>
      <c r="F35" s="20" t="n">
        <v>0.005172</v>
      </c>
      <c r="G35" s="20" t="n">
        <v>0.004806</v>
      </c>
      <c r="H35" s="20" t="n">
        <v>0.004791</v>
      </c>
      <c r="I35" s="20" t="n">
        <v>0.004762</v>
      </c>
      <c r="J35" s="21" t="n">
        <v>0.009216999999999999</v>
      </c>
    </row>
    <row r="36" ht="18" customHeight="1" s="10">
      <c r="B36" s="22" t="inlineStr">
        <is>
          <t>A3 - Busqueda Lineal</t>
        </is>
      </c>
      <c r="C36" s="23" t="inlineStr">
        <is>
          <t>Recursivo</t>
        </is>
      </c>
      <c r="D36" s="24" t="n">
        <v>1000</v>
      </c>
      <c r="E36" s="20" t="n">
        <v>0.041079</v>
      </c>
      <c r="F36" s="20" t="n">
        <v>0.008325000000000001</v>
      </c>
      <c r="G36" s="20" t="n">
        <v>0.008016000000000001</v>
      </c>
      <c r="H36" s="20" t="n">
        <v>0.009112</v>
      </c>
      <c r="I36" s="20" t="n">
        <v>0.010458</v>
      </c>
      <c r="J36" s="21" t="n">
        <v>0.015398</v>
      </c>
    </row>
    <row r="37" ht="18" customHeight="1" s="10">
      <c r="B37" s="22" t="inlineStr">
        <is>
          <t>A3 - Busqueda Lineal</t>
        </is>
      </c>
      <c r="C37" s="23" t="inlineStr">
        <is>
          <t>Recursivo</t>
        </is>
      </c>
      <c r="D37" s="24" t="n">
        <v>5000</v>
      </c>
      <c r="E37" s="20" t="n">
        <v>0.228585</v>
      </c>
      <c r="F37" s="20" t="n">
        <v>0.040725</v>
      </c>
      <c r="G37" s="20" t="n">
        <v>0.0392</v>
      </c>
      <c r="H37" s="20" t="n">
        <v>0.039094</v>
      </c>
      <c r="I37" s="20" t="n">
        <v>0.039085</v>
      </c>
      <c r="J37" s="21" t="n">
        <v>0.077338</v>
      </c>
    </row>
    <row r="38" ht="18" customHeight="1" s="10">
      <c r="B38" s="22" t="inlineStr">
        <is>
          <t>A3 - Busqueda Lineal</t>
        </is>
      </c>
      <c r="C38" s="23" t="inlineStr">
        <is>
          <t>Recursivo</t>
        </is>
      </c>
      <c r="D38" s="24" t="n">
        <v>10000</v>
      </c>
      <c r="E38" s="20" t="n">
        <v>0.31168</v>
      </c>
      <c r="F38" s="20" t="n">
        <v>0.082534</v>
      </c>
      <c r="G38" s="20" t="n">
        <v>0.08171200000000001</v>
      </c>
      <c r="H38" s="20" t="n">
        <v>0.081747</v>
      </c>
      <c r="I38" s="20" t="n">
        <v>0.08100599999999999</v>
      </c>
      <c r="J38" s="21" t="n">
        <v>0.127736</v>
      </c>
    </row>
    <row r="39"/>
    <row r="40" ht="18" customHeight="1" s="10">
      <c r="B40" s="17" t="inlineStr">
        <is>
          <t>A4 - Burbuja</t>
        </is>
      </c>
      <c r="C40" s="18" t="inlineStr">
        <is>
          <t>Iterativo</t>
        </is>
      </c>
      <c r="D40" s="19" t="n">
        <v>100</v>
      </c>
      <c r="E40" s="20" t="n">
        <v>0.857451</v>
      </c>
      <c r="F40" s="20" t="n">
        <v>0.188856</v>
      </c>
      <c r="G40" s="20" t="n">
        <v>0.189321</v>
      </c>
      <c r="H40" s="20" t="n">
        <v>0.18904</v>
      </c>
      <c r="I40" s="20" t="n">
        <v>0.187897</v>
      </c>
      <c r="J40" s="21" t="n">
        <v>0.322513</v>
      </c>
    </row>
    <row r="41" ht="18" customHeight="1" s="10">
      <c r="B41" s="17" t="inlineStr">
        <is>
          <t>A4 - Burbuja</t>
        </is>
      </c>
      <c r="C41" s="18" t="inlineStr">
        <is>
          <t>Iterativo</t>
        </is>
      </c>
      <c r="D41" s="19" t="n">
        <v>500</v>
      </c>
      <c r="E41" s="20" t="n">
        <v>2.49015</v>
      </c>
      <c r="F41" s="20" t="n">
        <v>0.869001</v>
      </c>
      <c r="G41" s="20" t="n">
        <v>0.9586249999999999</v>
      </c>
      <c r="H41" s="20" t="n">
        <v>1.124499</v>
      </c>
      <c r="I41" s="20" t="n">
        <v>0.873619</v>
      </c>
      <c r="J41" s="21" t="n">
        <v>1.263179</v>
      </c>
    </row>
    <row r="42" ht="18" customHeight="1" s="10">
      <c r="B42" s="17" t="inlineStr">
        <is>
          <t>A4 - Burbuja</t>
        </is>
      </c>
      <c r="C42" s="18" t="inlineStr">
        <is>
          <t>Iterativo</t>
        </is>
      </c>
      <c r="D42" s="19" t="n">
        <v>1000</v>
      </c>
      <c r="E42" s="20" t="n">
        <v>1.027949</v>
      </c>
      <c r="F42" s="20" t="n">
        <v>1.03232</v>
      </c>
      <c r="G42" s="20" t="n">
        <v>1.027465</v>
      </c>
      <c r="H42" s="20" t="n">
        <v>69.30622700000001</v>
      </c>
      <c r="I42" s="20" t="n">
        <v>1.198275</v>
      </c>
      <c r="J42" s="21" t="n">
        <v>14.718447</v>
      </c>
    </row>
    <row r="43" ht="18" customHeight="1" s="10">
      <c r="B43" s="17" t="inlineStr">
        <is>
          <t>A4 - Burbuja</t>
        </is>
      </c>
      <c r="C43" s="18" t="inlineStr">
        <is>
          <t>Iterativo</t>
        </is>
      </c>
      <c r="D43" s="19" t="n">
        <v>5000</v>
      </c>
      <c r="E43" s="20" t="n">
        <v>26.126366</v>
      </c>
      <c r="F43" s="20" t="n">
        <v>71.741253</v>
      </c>
      <c r="G43" s="20" t="n">
        <v>26.133992</v>
      </c>
      <c r="H43" s="20" t="n">
        <v>26.161652</v>
      </c>
      <c r="I43" s="20" t="n">
        <v>34.720573</v>
      </c>
      <c r="J43" s="21" t="n">
        <v>36.976767</v>
      </c>
    </row>
    <row r="44" ht="18" customHeight="1" s="10">
      <c r="B44" s="17" t="inlineStr">
        <is>
          <t>A4 - Burbuja</t>
        </is>
      </c>
      <c r="C44" s="18" t="inlineStr">
        <is>
          <t>Iterativo</t>
        </is>
      </c>
      <c r="D44" s="19" t="n">
        <v>10000</v>
      </c>
      <c r="E44" s="20" t="n">
        <v>158.407984</v>
      </c>
      <c r="F44" s="20" t="n">
        <v>138.543955</v>
      </c>
      <c r="G44" s="20" t="n">
        <v>141.222978</v>
      </c>
      <c r="H44" s="20" t="n">
        <v>136.74738</v>
      </c>
      <c r="I44" s="20" t="n">
        <v>138.011064</v>
      </c>
      <c r="J44" s="21" t="n">
        <v>142.586672</v>
      </c>
    </row>
    <row r="45" ht="18" customHeight="1" s="10">
      <c r="B45" s="22" t="inlineStr">
        <is>
          <t>A4 - Burbuja</t>
        </is>
      </c>
      <c r="C45" s="23" t="inlineStr">
        <is>
          <t>Recursivo</t>
        </is>
      </c>
      <c r="D45" s="24" t="n">
        <v>100</v>
      </c>
      <c r="E45" s="20" t="n">
        <v>0.176001</v>
      </c>
      <c r="F45" s="20" t="n">
        <v>0.214284</v>
      </c>
      <c r="G45" s="20" t="n">
        <v>0.183441</v>
      </c>
      <c r="H45" s="20" t="n">
        <v>0.09193999999999999</v>
      </c>
      <c r="I45" s="20" t="n">
        <v>0.034299</v>
      </c>
      <c r="J45" s="21" t="n">
        <v>0.139993</v>
      </c>
    </row>
    <row r="46" ht="18" customHeight="1" s="10">
      <c r="B46" s="22" t="inlineStr">
        <is>
          <t>A4 - Burbuja</t>
        </is>
      </c>
      <c r="C46" s="23" t="inlineStr">
        <is>
          <t>Recursivo</t>
        </is>
      </c>
      <c r="D46" s="24" t="n">
        <v>500</v>
      </c>
      <c r="E46" s="20" t="n">
        <v>0.891049</v>
      </c>
      <c r="F46" s="20" t="n">
        <v>0.850128</v>
      </c>
      <c r="G46" s="20" t="n">
        <v>0.801118</v>
      </c>
      <c r="H46" s="20" t="n">
        <v>0.785772</v>
      </c>
      <c r="I46" s="20" t="n">
        <v>0.797789</v>
      </c>
      <c r="J46" s="21" t="n">
        <v>0.825171</v>
      </c>
    </row>
    <row r="47" ht="18" customHeight="1" s="10">
      <c r="B47" s="22" t="inlineStr">
        <is>
          <t>A4 - Burbuja</t>
        </is>
      </c>
      <c r="C47" s="23" t="inlineStr">
        <is>
          <t>Recursivo</t>
        </is>
      </c>
      <c r="D47" s="24" t="n">
        <v>1000</v>
      </c>
      <c r="E47" s="20" t="n">
        <v>3.585675</v>
      </c>
      <c r="F47" s="20" t="n">
        <v>5.774355</v>
      </c>
      <c r="G47" s="20" t="n">
        <v>5.513212</v>
      </c>
      <c r="H47" s="20" t="n">
        <v>1.540001</v>
      </c>
      <c r="I47" s="20" t="n">
        <v>1.045037</v>
      </c>
      <c r="J47" s="21" t="n">
        <v>3.491656</v>
      </c>
    </row>
    <row r="48" ht="18" customHeight="1" s="10">
      <c r="B48" s="22" t="inlineStr">
        <is>
          <t>A4 - Burbuja</t>
        </is>
      </c>
      <c r="C48" s="23" t="inlineStr">
        <is>
          <t>Recursivo</t>
        </is>
      </c>
      <c r="D48" s="24" t="n">
        <v>5000</v>
      </c>
      <c r="E48" s="20" t="n">
        <v>28.406643</v>
      </c>
      <c r="F48" s="20" t="n">
        <v>28.420527</v>
      </c>
      <c r="G48" s="20" t="n">
        <v>48.563791</v>
      </c>
      <c r="H48" s="20" t="n">
        <v>28.652296</v>
      </c>
      <c r="I48" s="20" t="n">
        <v>28.31892</v>
      </c>
      <c r="J48" s="21" t="n">
        <v>32.472435</v>
      </c>
    </row>
    <row r="49" ht="18" customHeight="1" s="10">
      <c r="B49" s="22" t="inlineStr">
        <is>
          <t>A4 - Burbuja</t>
        </is>
      </c>
      <c r="C49" s="23" t="inlineStr">
        <is>
          <t>Recursivo</t>
        </is>
      </c>
      <c r="D49" s="24" t="n">
        <v>10000</v>
      </c>
      <c r="E49" s="20" t="n">
        <v>143.016921</v>
      </c>
      <c r="F49" s="20" t="n">
        <v>134.636784</v>
      </c>
      <c r="G49" s="20" t="n">
        <v>142.95221</v>
      </c>
      <c r="H49" s="20" t="n">
        <v>134.083541</v>
      </c>
      <c r="I49" s="20" t="n">
        <v>134.044616</v>
      </c>
      <c r="J49" s="21" t="n">
        <v>137.746814</v>
      </c>
    </row>
    <row r="50"/>
    <row r="51"/>
    <row r="52">
      <c r="B52" s="6" t="inlineStr">
        <is>
          <t>Leyenda:  Fondo AMARILLO = ingresa tu medicion real  |  Fondo VERDE = promedio automatico (no editar)  |  Fondo NARANJA = version recursiva</t>
        </is>
      </c>
    </row>
  </sheetData>
  <mergeCells count="2">
    <mergeCell ref="B1:I1"/>
    <mergeCell ref="B52:J5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3" customWidth="1" style="10" min="1" max="1"/>
    <col width="14" customWidth="1" style="10" min="2" max="2"/>
    <col width="16" customWidth="1" style="10" min="3" max="4"/>
    <col width="4" customWidth="1" style="10" min="5" max="13"/>
  </cols>
  <sheetData>
    <row r="1" ht="33.75" customHeight="1" s="10">
      <c r="B1" s="7" t="inlineStr">
        <is>
          <t>HOJA — A1 - Factorial | Iterativo vs. Recursivo</t>
        </is>
      </c>
      <c r="C1" s="45" t="n"/>
      <c r="D1" s="45" t="n"/>
    </row>
    <row r="2" ht="21.75" customHeight="1" s="10">
      <c r="B2" s="17" t="inlineStr">
        <is>
          <t>Big-O Iterativo:</t>
        </is>
      </c>
      <c r="C2" s="25" t="inlineStr">
        <is>
          <t>O(n)</t>
        </is>
      </c>
      <c r="D2" s="25" t="inlineStr">
        <is>
          <t>Big-O Recursivo:  O(n)</t>
        </is>
      </c>
    </row>
    <row r="3" ht="9.75" customHeight="1" s="10"/>
    <row r="4" ht="30" customHeight="1" s="10">
      <c r="B4" s="15" t="inlineStr">
        <is>
          <t>n</t>
        </is>
      </c>
      <c r="C4" s="15" t="inlineStr">
        <is>
          <t>Iterativo
(O(n))</t>
        </is>
      </c>
      <c r="D4" s="16" t="inlineStr">
        <is>
          <t>Recursivo
(O(n))</t>
        </is>
      </c>
    </row>
    <row r="5" ht="19.5" customHeight="1" s="10">
      <c r="B5" s="26" t="n">
        <v>5</v>
      </c>
      <c r="C5" s="27">
        <f>AVERAGEIFS('1. Datos_Crudos'!$J:$J,'1. Datos_Crudos'!$B:$B,"A1 - Factorial",'1. Datos_Crudos'!$C:$C,"Iterativo",'1. Datos_Crudos'!$D:$D,B5)</f>
        <v/>
      </c>
      <c r="D5" s="28">
        <f>AVERAGEIFS('1. Datos_Crudos'!$J:$J,'1. Datos_Crudos'!$B:$B,"A1 - Factorial",'1. Datos_Crudos'!$C:$C,"Recursivo",'1. Datos_Crudos'!$D:$D,B5)</f>
        <v/>
      </c>
    </row>
    <row r="6" ht="19.5" customHeight="1" s="10">
      <c r="B6" s="29" t="n">
        <v>10</v>
      </c>
      <c r="C6" s="30">
        <f>AVERAGEIFS('1. Datos_Crudos'!$J:$J,'1. Datos_Crudos'!$B:$B,"A1 - Factorial",'1. Datos_Crudos'!$C:$C,"Iterativo",'1. Datos_Crudos'!$D:$D,B6)</f>
        <v/>
      </c>
      <c r="D6" s="31">
        <f>AVERAGEIFS('1. Datos_Crudos'!$J:$J,'1. Datos_Crudos'!$B:$B,"A1 - Factorial",'1. Datos_Crudos'!$C:$C,"Recursivo",'1. Datos_Crudos'!$D:$D,B6)</f>
        <v/>
      </c>
    </row>
    <row r="7" ht="19.5" customHeight="1" s="10">
      <c r="B7" s="26" t="n">
        <v>15</v>
      </c>
      <c r="C7" s="27">
        <f>AVERAGEIFS('1. Datos_Crudos'!$J:$J,'1. Datos_Crudos'!$B:$B,"A1 - Factorial",'1. Datos_Crudos'!$C:$C,"Iterativo",'1. Datos_Crudos'!$D:$D,B7)</f>
        <v/>
      </c>
      <c r="D7" s="28">
        <f>AVERAGEIFS('1. Datos_Crudos'!$J:$J,'1. Datos_Crudos'!$B:$B,"A1 - Factorial",'1. Datos_Crudos'!$C:$C,"Recursivo",'1. Datos_Crudos'!$D:$D,B7)</f>
        <v/>
      </c>
    </row>
    <row r="8" ht="19.5" customHeight="1" s="10">
      <c r="B8" s="29" t="n">
        <v>20</v>
      </c>
      <c r="C8" s="30">
        <f>AVERAGEIFS('1. Datos_Crudos'!$J:$J,'1. Datos_Crudos'!$B:$B,"A1 - Factorial",'1. Datos_Crudos'!$C:$C,"Iterativo",'1. Datos_Crudos'!$D:$D,B8)</f>
        <v/>
      </c>
      <c r="D8" s="31">
        <f>AVERAGEIFS('1. Datos_Crudos'!$J:$J,'1. Datos_Crudos'!$B:$B,"A1 - Factorial",'1. Datos_Crudos'!$C:$C,"Recursivo",'1. Datos_Crudos'!$D:$D,B8)</f>
        <v/>
      </c>
    </row>
    <row r="9" ht="19.5" customHeight="1" s="10">
      <c r="B9" s="26" t="n">
        <v>25</v>
      </c>
      <c r="C9" s="27">
        <f>AVERAGEIFS('1. Datos_Crudos'!$J:$J,'1. Datos_Crudos'!$B:$B,"A1 - Factorial",'1. Datos_Crudos'!$C:$C,"Iterativo",'1. Datos_Crudos'!$D:$D,B9)</f>
        <v/>
      </c>
      <c r="D9" s="28">
        <f>AVERAGEIFS('1. Datos_Crudos'!$J:$J,'1. Datos_Crudos'!$B:$B,"A1 - Factorial",'1. Datos_Crudos'!$C:$C,"Recursivo",'1. Datos_Crudos'!$D:$D,B9)</f>
        <v/>
      </c>
    </row>
    <row r="10" ht="19.5" customHeight="1" s="10">
      <c r="B10" s="29" t="n">
        <v>30</v>
      </c>
      <c r="C10" s="30">
        <f>AVERAGEIFS('1. Datos_Crudos'!$J:$J,'1. Datos_Crudos'!$B:$B,"A1 - Factorial",'1. Datos_Crudos'!$C:$C,"Iterativo",'1. Datos_Crudos'!$D:$D,B10)</f>
        <v/>
      </c>
      <c r="D10" s="31">
        <f>AVERAGEIFS('1. Datos_Crudos'!$J:$J,'1. Datos_Crudos'!$B:$B,"A1 - Factorial",'1. Datos_Crudos'!$C:$C,"Recursivo",'1. Datos_Crudos'!$D:$D,B10)</f>
        <v/>
      </c>
    </row>
    <row r="12" ht="39.75" customHeight="1" s="10">
      <c r="B12" s="5" t="inlineStr">
        <is>
          <t>Observacion:  Ambas versiones son O(n): el tiempo crece linealmente con n.</t>
        </is>
      </c>
      <c r="C12" s="45" t="n"/>
      <c r="D12" s="45" t="n"/>
    </row>
  </sheetData>
  <mergeCells count="2">
    <mergeCell ref="B12:D12"/>
    <mergeCell ref="B1:D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3" customWidth="1" style="10" min="1" max="1"/>
    <col width="14" customWidth="1" style="10" min="2" max="2"/>
    <col width="16" customWidth="1" style="10" min="3" max="4"/>
    <col width="4" customWidth="1" style="10" min="5" max="13"/>
  </cols>
  <sheetData>
    <row r="1" ht="33.75" customHeight="1" s="10">
      <c r="B1" s="7" t="inlineStr">
        <is>
          <t>HOJA — A2 - Fibonacci | Iterativo vs. Recursivo</t>
        </is>
      </c>
      <c r="C1" s="45" t="n"/>
      <c r="D1" s="45" t="n"/>
    </row>
    <row r="2" ht="21.75" customHeight="1" s="10">
      <c r="B2" s="17" t="inlineStr">
        <is>
          <t>Big-O Iterativo:</t>
        </is>
      </c>
      <c r="C2" s="25" t="inlineStr">
        <is>
          <t>O(n)</t>
        </is>
      </c>
      <c r="D2" s="32" t="inlineStr">
        <is>
          <t>Big-O Recursivo:  O(2^n)</t>
        </is>
      </c>
    </row>
    <row r="3" ht="9.75" customHeight="1" s="10"/>
    <row r="4" ht="30" customHeight="1" s="10">
      <c r="B4" s="15" t="inlineStr">
        <is>
          <t>n</t>
        </is>
      </c>
      <c r="C4" s="15" t="inlineStr">
        <is>
          <t>Iterativo
(O(n))</t>
        </is>
      </c>
      <c r="D4" s="16" t="inlineStr">
        <is>
          <t>Recursivo
(O(2^n))</t>
        </is>
      </c>
    </row>
    <row r="5" ht="19.5" customHeight="1" s="10">
      <c r="B5" s="26" t="n">
        <v>5</v>
      </c>
      <c r="C5" s="27">
        <f>AVERAGEIFS('1. Datos_Crudos'!$J:$J,'1. Datos_Crudos'!$B:$B,"A2 - Fibonacci",'1. Datos_Crudos'!$C:$C,"Iterativo",'1. Datos_Crudos'!$D:$D,B5)</f>
        <v/>
      </c>
      <c r="D5" s="33">
        <f>AVERAGEIFS('1. Datos_Crudos'!$J:$J,'1. Datos_Crudos'!$B:$B,"A2 - Fibonacci",'1. Datos_Crudos'!$C:$C,"Recursivo",'1. Datos_Crudos'!$D:$D,B5)</f>
        <v/>
      </c>
    </row>
    <row r="6" ht="19.5" customHeight="1" s="10">
      <c r="B6" s="29" t="n">
        <v>10</v>
      </c>
      <c r="C6" s="30">
        <f>AVERAGEIFS('1. Datos_Crudos'!$J:$J,'1. Datos_Crudos'!$B:$B,"A2 - Fibonacci",'1. Datos_Crudos'!$C:$C,"Iterativo",'1. Datos_Crudos'!$D:$D,B6)</f>
        <v/>
      </c>
      <c r="D6" s="34">
        <f>AVERAGEIFS('1. Datos_Crudos'!$J:$J,'1. Datos_Crudos'!$B:$B,"A2 - Fibonacci",'1. Datos_Crudos'!$C:$C,"Recursivo",'1. Datos_Crudos'!$D:$D,B6)</f>
        <v/>
      </c>
    </row>
    <row r="7" ht="19.5" customHeight="1" s="10">
      <c r="B7" s="26" t="n">
        <v>15</v>
      </c>
      <c r="C7" s="27">
        <f>AVERAGEIFS('1. Datos_Crudos'!$J:$J,'1. Datos_Crudos'!$B:$B,"A2 - Fibonacci",'1. Datos_Crudos'!$C:$C,"Iterativo",'1. Datos_Crudos'!$D:$D,B7)</f>
        <v/>
      </c>
      <c r="D7" s="33">
        <f>AVERAGEIFS('1. Datos_Crudos'!$J:$J,'1. Datos_Crudos'!$B:$B,"A2 - Fibonacci",'1. Datos_Crudos'!$C:$C,"Recursivo",'1. Datos_Crudos'!$D:$D,B7)</f>
        <v/>
      </c>
    </row>
    <row r="8" ht="19.5" customHeight="1" s="10">
      <c r="B8" s="29" t="n">
        <v>20</v>
      </c>
      <c r="C8" s="30">
        <f>AVERAGEIFS('1. Datos_Crudos'!$J:$J,'1. Datos_Crudos'!$B:$B,"A2 - Fibonacci",'1. Datos_Crudos'!$C:$C,"Iterativo",'1. Datos_Crudos'!$D:$D,B8)</f>
        <v/>
      </c>
      <c r="D8" s="34">
        <f>AVERAGEIFS('1. Datos_Crudos'!$J:$J,'1. Datos_Crudos'!$B:$B,"A2 - Fibonacci",'1. Datos_Crudos'!$C:$C,"Recursivo",'1. Datos_Crudos'!$D:$D,B8)</f>
        <v/>
      </c>
    </row>
    <row r="9" ht="19.5" customHeight="1" s="10">
      <c r="B9" s="26" t="n">
        <v>25</v>
      </c>
      <c r="C9" s="27">
        <f>AVERAGEIFS('1. Datos_Crudos'!$J:$J,'1. Datos_Crudos'!$B:$B,"A2 - Fibonacci",'1. Datos_Crudos'!$C:$C,"Iterativo",'1. Datos_Crudos'!$D:$D,B9)</f>
        <v/>
      </c>
      <c r="D9" s="33">
        <f>AVERAGEIFS('1. Datos_Crudos'!$J:$J,'1. Datos_Crudos'!$B:$B,"A2 - Fibonacci",'1. Datos_Crudos'!$C:$C,"Recursivo",'1. Datos_Crudos'!$D:$D,B9)</f>
        <v/>
      </c>
    </row>
    <row r="10" ht="19.5" customHeight="1" s="10">
      <c r="B10" s="29" t="n">
        <v>30</v>
      </c>
      <c r="C10" s="30">
        <f>AVERAGEIFS('1. Datos_Crudos'!$J:$J,'1. Datos_Crudos'!$B:$B,"A2 - Fibonacci",'1. Datos_Crudos'!$C:$C,"Iterativo",'1. Datos_Crudos'!$D:$D,B10)</f>
        <v/>
      </c>
      <c r="D10" s="34">
        <f>AVERAGEIFS('1. Datos_Crudos'!$J:$J,'1. Datos_Crudos'!$B:$B,"A2 - Fibonacci",'1. Datos_Crudos'!$C:$C,"Recursivo",'1. Datos_Crudos'!$D:$D,B10)</f>
        <v/>
      </c>
    </row>
    <row r="12" ht="39.75" customHeight="1" s="10">
      <c r="B12" s="5" t="inlineStr">
        <is>
          <t>Observacion:  Recursivo crece exponencialmente: duplicar n casi cuadriplica el tiempo.</t>
        </is>
      </c>
      <c r="C12" s="45" t="n"/>
      <c r="D12" s="45" t="n"/>
    </row>
  </sheetData>
  <mergeCells count="2">
    <mergeCell ref="B12:D12"/>
    <mergeCell ref="B1:D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1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3" customWidth="1" style="10" min="1" max="1"/>
    <col width="14" customWidth="1" style="10" min="2" max="2"/>
    <col width="16" customWidth="1" style="10" min="3" max="4"/>
    <col width="4" customWidth="1" style="10" min="5" max="13"/>
  </cols>
  <sheetData>
    <row r="1" ht="33.75" customHeight="1" s="10">
      <c r="B1" s="7" t="inlineStr">
        <is>
          <t>HOJA — A3 - Busqueda Lineal | Iterativo vs. Recursivo</t>
        </is>
      </c>
      <c r="C1" s="45" t="n"/>
      <c r="D1" s="45" t="n"/>
    </row>
    <row r="2" ht="21.75" customHeight="1" s="10">
      <c r="B2" s="17" t="inlineStr">
        <is>
          <t>Big-O Iterativo:</t>
        </is>
      </c>
      <c r="C2" s="25" t="inlineStr">
        <is>
          <t>O(n)</t>
        </is>
      </c>
      <c r="D2" s="25" t="inlineStr">
        <is>
          <t>Big-O Recursivo:  O(n)</t>
        </is>
      </c>
    </row>
    <row r="3" ht="9.75" customHeight="1" s="10"/>
    <row r="4" ht="30" customHeight="1" s="10">
      <c r="B4" s="15" t="inlineStr">
        <is>
          <t>n</t>
        </is>
      </c>
      <c r="C4" s="15" t="inlineStr">
        <is>
          <t>Iterativo
(O(n))</t>
        </is>
      </c>
      <c r="D4" s="16" t="inlineStr">
        <is>
          <t>Recursivo
(O(n))</t>
        </is>
      </c>
    </row>
    <row r="5" ht="19.5" customHeight="1" s="10">
      <c r="B5" s="26" t="n">
        <v>100</v>
      </c>
      <c r="C5" s="27">
        <f>AVERAGEIFS('1. Datos_Crudos'!$J:$J,'1. Datos_Crudos'!$B:$B,"A3 - Busqueda Lineal",'1. Datos_Crudos'!$C:$C,"Iterativo",'1. Datos_Crudos'!$D:$D,B5)</f>
        <v/>
      </c>
      <c r="D5" s="28">
        <f>AVERAGEIFS('1. Datos_Crudos'!$J:$J,'1. Datos_Crudos'!$B:$B,"A3 - Busqueda Lineal",'1. Datos_Crudos'!$C:$C,"Recursivo",'1. Datos_Crudos'!$D:$D,B5)</f>
        <v/>
      </c>
    </row>
    <row r="6" ht="19.5" customHeight="1" s="10">
      <c r="B6" s="29" t="n">
        <v>500</v>
      </c>
      <c r="C6" s="30">
        <f>AVERAGEIFS('1. Datos_Crudos'!$J:$J,'1. Datos_Crudos'!$B:$B,"A3 - Busqueda Lineal",'1. Datos_Crudos'!$C:$C,"Iterativo",'1. Datos_Crudos'!$D:$D,B6)</f>
        <v/>
      </c>
      <c r="D6" s="31">
        <f>AVERAGEIFS('1. Datos_Crudos'!$J:$J,'1. Datos_Crudos'!$B:$B,"A3 - Busqueda Lineal",'1. Datos_Crudos'!$C:$C,"Recursivo",'1. Datos_Crudos'!$D:$D,B6)</f>
        <v/>
      </c>
    </row>
    <row r="7" ht="19.5" customHeight="1" s="10">
      <c r="B7" s="26" t="n">
        <v>1000</v>
      </c>
      <c r="C7" s="27">
        <f>AVERAGEIFS('1. Datos_Crudos'!$J:$J,'1. Datos_Crudos'!$B:$B,"A3 - Busqueda Lineal",'1. Datos_Crudos'!$C:$C,"Iterativo",'1. Datos_Crudos'!$D:$D,B7)</f>
        <v/>
      </c>
      <c r="D7" s="28">
        <f>AVERAGEIFS('1. Datos_Crudos'!$J:$J,'1. Datos_Crudos'!$B:$B,"A3 - Busqueda Lineal",'1. Datos_Crudos'!$C:$C,"Recursivo",'1. Datos_Crudos'!$D:$D,B7)</f>
        <v/>
      </c>
    </row>
    <row r="8" ht="19.5" customHeight="1" s="10">
      <c r="B8" s="29" t="n">
        <v>5000</v>
      </c>
      <c r="C8" s="30">
        <f>AVERAGEIFS('1. Datos_Crudos'!$J:$J,'1. Datos_Crudos'!$B:$B,"A3 - Busqueda Lineal",'1. Datos_Crudos'!$C:$C,"Iterativo",'1. Datos_Crudos'!$D:$D,B8)</f>
        <v/>
      </c>
      <c r="D8" s="31">
        <f>AVERAGEIFS('1. Datos_Crudos'!$J:$J,'1. Datos_Crudos'!$B:$B,"A3 - Busqueda Lineal",'1. Datos_Crudos'!$C:$C,"Recursivo",'1. Datos_Crudos'!$D:$D,B8)</f>
        <v/>
      </c>
    </row>
    <row r="9" ht="19.5" customHeight="1" s="10">
      <c r="B9" s="26" t="n">
        <v>10000</v>
      </c>
      <c r="C9" s="27">
        <f>AVERAGEIFS('1. Datos_Crudos'!$J:$J,'1. Datos_Crudos'!$B:$B,"A3 - Busqueda Lineal",'1. Datos_Crudos'!$C:$C,"Iterativo",'1. Datos_Crudos'!$D:$D,B9)</f>
        <v/>
      </c>
      <c r="D9" s="28">
        <f>AVERAGEIFS('1. Datos_Crudos'!$J:$J,'1. Datos_Crudos'!$B:$B,"A3 - Busqueda Lineal",'1. Datos_Crudos'!$C:$C,"Recursivo",'1. Datos_Crudos'!$D:$D,B9)</f>
        <v/>
      </c>
    </row>
    <row r="11" ht="39.75" customHeight="1" s="10">
      <c r="B11" s="5" t="inlineStr">
        <is>
          <t>Observacion:  Ambas O(n): al multiplicar n x10, el tiempo tambien x10 aprox.</t>
        </is>
      </c>
      <c r="C11" s="45" t="n"/>
      <c r="D11" s="45" t="n"/>
    </row>
  </sheetData>
  <mergeCells count="2">
    <mergeCell ref="B11:D11"/>
    <mergeCell ref="B1:D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11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3" customWidth="1" style="10" min="1" max="1"/>
    <col width="14" customWidth="1" style="10" min="2" max="2"/>
    <col width="16" customWidth="1" style="10" min="3" max="4"/>
    <col width="4" customWidth="1" style="10" min="5" max="13"/>
  </cols>
  <sheetData>
    <row r="1" ht="33.75" customHeight="1" s="10">
      <c r="B1" s="7" t="inlineStr">
        <is>
          <t>HOJA — A4 - Burbuja | Iterativo vs. Recursivo</t>
        </is>
      </c>
      <c r="C1" s="45" t="n"/>
      <c r="D1" s="45" t="n"/>
    </row>
    <row r="2" ht="21.75" customHeight="1" s="10">
      <c r="B2" s="17" t="inlineStr">
        <is>
          <t>Big-O Iterativo:</t>
        </is>
      </c>
      <c r="C2" s="25" t="inlineStr">
        <is>
          <t>O(n^2)</t>
        </is>
      </c>
      <c r="D2" s="25" t="inlineStr">
        <is>
          <t>Big-O Recursivo:  O(n^2)</t>
        </is>
      </c>
    </row>
    <row r="3" ht="9.75" customHeight="1" s="10"/>
    <row r="4" ht="30" customHeight="1" s="10">
      <c r="B4" s="15" t="inlineStr">
        <is>
          <t>n</t>
        </is>
      </c>
      <c r="C4" s="15" t="inlineStr">
        <is>
          <t>Iterativo
(O(n^2))</t>
        </is>
      </c>
      <c r="D4" s="16" t="inlineStr">
        <is>
          <t>Recursivo
(O(n^2))</t>
        </is>
      </c>
    </row>
    <row r="5" ht="19.5" customHeight="1" s="10">
      <c r="B5" s="26" t="n">
        <v>100</v>
      </c>
      <c r="C5" s="27">
        <f>AVERAGEIFS('1. Datos_Crudos'!$J:$J,'1. Datos_Crudos'!$B:$B,"A4 - Burbuja",'1. Datos_Crudos'!$C:$C,"Iterativo",'1. Datos_Crudos'!$D:$D,B5)</f>
        <v/>
      </c>
      <c r="D5" s="28">
        <f>AVERAGEIFS('1. Datos_Crudos'!$J:$J,'1. Datos_Crudos'!$B:$B,"A4 - Burbuja",'1. Datos_Crudos'!$C:$C,"Recursivo",'1. Datos_Crudos'!$D:$D,B5)</f>
        <v/>
      </c>
    </row>
    <row r="6" ht="19.5" customHeight="1" s="10">
      <c r="B6" s="29" t="n">
        <v>500</v>
      </c>
      <c r="C6" s="30">
        <f>AVERAGEIFS('1. Datos_Crudos'!$J:$J,'1. Datos_Crudos'!$B:$B,"A4 - Burbuja",'1. Datos_Crudos'!$C:$C,"Iterativo",'1. Datos_Crudos'!$D:$D,B6)</f>
        <v/>
      </c>
      <c r="D6" s="31">
        <f>AVERAGEIFS('1. Datos_Crudos'!$J:$J,'1. Datos_Crudos'!$B:$B,"A4 - Burbuja",'1. Datos_Crudos'!$C:$C,"Recursivo",'1. Datos_Crudos'!$D:$D,B6)</f>
        <v/>
      </c>
    </row>
    <row r="7" ht="19.5" customHeight="1" s="10">
      <c r="B7" s="26" t="n">
        <v>1000</v>
      </c>
      <c r="C7" s="27">
        <f>AVERAGEIFS('1. Datos_Crudos'!$J:$J,'1. Datos_Crudos'!$B:$B,"A4 - Burbuja",'1. Datos_Crudos'!$C:$C,"Iterativo",'1. Datos_Crudos'!$D:$D,B7)</f>
        <v/>
      </c>
      <c r="D7" s="28">
        <f>AVERAGEIFS('1. Datos_Crudos'!$J:$J,'1. Datos_Crudos'!$B:$B,"A4 - Burbuja",'1. Datos_Crudos'!$C:$C,"Recursivo",'1. Datos_Crudos'!$D:$D,B7)</f>
        <v/>
      </c>
    </row>
    <row r="8" ht="19.5" customHeight="1" s="10">
      <c r="B8" s="29" t="n">
        <v>5000</v>
      </c>
      <c r="C8" s="30">
        <f>AVERAGEIFS('1. Datos_Crudos'!$J:$J,'1. Datos_Crudos'!$B:$B,"A4 - Burbuja",'1. Datos_Crudos'!$C:$C,"Iterativo",'1. Datos_Crudos'!$D:$D,B8)</f>
        <v/>
      </c>
      <c r="D8" s="31">
        <f>AVERAGEIFS('1. Datos_Crudos'!$J:$J,'1. Datos_Crudos'!$B:$B,"A4 - Burbuja",'1. Datos_Crudos'!$C:$C,"Recursivo",'1. Datos_Crudos'!$D:$D,B8)</f>
        <v/>
      </c>
    </row>
    <row r="9" ht="19.5" customHeight="1" s="10">
      <c r="B9" s="26" t="n">
        <v>10000</v>
      </c>
      <c r="C9" s="27">
        <f>AVERAGEIFS('1. Datos_Crudos'!$J:$J,'1. Datos_Crudos'!$B:$B,"A4 - Burbuja",'1. Datos_Crudos'!$C:$C,"Iterativo",'1. Datos_Crudos'!$D:$D,B9)</f>
        <v/>
      </c>
      <c r="D9" s="28">
        <f>AVERAGEIFS('1. Datos_Crudos'!$J:$J,'1. Datos_Crudos'!$B:$B,"A4 - Burbuja",'1. Datos_Crudos'!$C:$C,"Recursivo",'1. Datos_Crudos'!$D:$D,B9)</f>
        <v/>
      </c>
    </row>
    <row r="11" ht="39.75" customHeight="1" s="10">
      <c r="B11" s="5" t="inlineStr">
        <is>
          <t>Observacion:  Ambas O(n^2): al x10 n, el tiempo aumenta aprox x100.</t>
        </is>
      </c>
      <c r="C11" s="45" t="n"/>
      <c r="D11" s="45" t="n"/>
    </row>
  </sheetData>
  <mergeCells count="2">
    <mergeCell ref="B11:D11"/>
    <mergeCell ref="B1:D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3" customWidth="1" style="10" min="1" max="1"/>
    <col width="24" customWidth="1" style="10" min="2" max="2"/>
    <col width="16" customWidth="1" style="10" min="3" max="3"/>
    <col width="20" customWidth="1" style="10" min="4" max="5"/>
    <col width="16" customWidth="1" style="10" min="6" max="6"/>
    <col width="42" customWidth="1" style="10" min="7" max="7"/>
  </cols>
  <sheetData>
    <row r="1" ht="33.75" customHeight="1" s="10">
      <c r="B1" s="7" t="inlineStr">
        <is>
          <t>HOJA 6 — Conclusiones | Big-O Experimental vs. Teorico</t>
        </is>
      </c>
      <c r="C1" s="45" t="n"/>
      <c r="D1" s="45" t="n"/>
      <c r="E1" s="45" t="n"/>
      <c r="F1" s="45" t="n"/>
      <c r="G1" s="45" t="n"/>
    </row>
    <row r="2" ht="9.75" customHeight="1" s="10"/>
    <row r="3" ht="30" customHeight="1" s="10">
      <c r="B3" s="35" t="inlineStr">
        <is>
          <t>Algoritmo</t>
        </is>
      </c>
      <c r="C3" s="35" t="inlineStr">
        <is>
          <t>Version</t>
        </is>
      </c>
      <c r="D3" s="36" t="inlineStr">
        <is>
          <t>Big-O Experimental
(de tu grafica)</t>
        </is>
      </c>
      <c r="E3" s="37" t="inlineStr">
        <is>
          <t>Big-O Teorico</t>
        </is>
      </c>
      <c r="F3" s="37" t="inlineStr">
        <is>
          <t>Coincide?</t>
        </is>
      </c>
      <c r="G3" s="37" t="inlineStr">
        <is>
          <t>Justificacion breve</t>
        </is>
      </c>
    </row>
    <row r="4" ht="21.75" customHeight="1" s="10">
      <c r="B4" s="37" t="inlineStr">
        <is>
          <t>A1 - Factorial</t>
        </is>
      </c>
      <c r="C4" s="38" t="inlineStr">
        <is>
          <t>Iterativo</t>
        </is>
      </c>
      <c r="D4" s="39" t="inlineStr">
        <is>
          <t>(escribe aqui)</t>
        </is>
      </c>
      <c r="E4" s="37" t="inlineStr">
        <is>
          <t>O(n)</t>
        </is>
      </c>
      <c r="F4" s="40" t="inlineStr">
        <is>
          <t>Si / No</t>
        </is>
      </c>
      <c r="G4" s="41" t="n"/>
    </row>
    <row r="5" ht="21.75" customHeight="1" s="10">
      <c r="B5" s="42" t="inlineStr">
        <is>
          <t>A1 - Factorial</t>
        </is>
      </c>
      <c r="C5" s="43" t="inlineStr">
        <is>
          <t>Recursivo</t>
        </is>
      </c>
      <c r="D5" s="39" t="inlineStr">
        <is>
          <t>(escribe aqui)</t>
        </is>
      </c>
      <c r="E5" s="42" t="inlineStr">
        <is>
          <t>O(n)</t>
        </is>
      </c>
      <c r="F5" s="40" t="inlineStr">
        <is>
          <t>Si / No</t>
        </is>
      </c>
      <c r="G5" s="41" t="n"/>
    </row>
    <row r="6" ht="21.75" customHeight="1" s="10">
      <c r="B6" s="37" t="inlineStr">
        <is>
          <t>A2 - Fibonacci</t>
        </is>
      </c>
      <c r="C6" s="38" t="inlineStr">
        <is>
          <t>Iterativo</t>
        </is>
      </c>
      <c r="D6" s="39" t="inlineStr">
        <is>
          <t>(escribe aqui)</t>
        </is>
      </c>
      <c r="E6" s="37" t="inlineStr">
        <is>
          <t>O(n)</t>
        </is>
      </c>
      <c r="F6" s="40" t="inlineStr">
        <is>
          <t>Si / No</t>
        </is>
      </c>
      <c r="G6" s="41" t="n"/>
    </row>
    <row r="7" ht="21.75" customHeight="1" s="10">
      <c r="B7" s="42" t="inlineStr">
        <is>
          <t>A2 - Fibonacci</t>
        </is>
      </c>
      <c r="C7" s="43" t="inlineStr">
        <is>
          <t>Recursivo</t>
        </is>
      </c>
      <c r="D7" s="39" t="inlineStr">
        <is>
          <t>(escribe aqui)</t>
        </is>
      </c>
      <c r="E7" s="42" t="inlineStr">
        <is>
          <t>O(2^n)</t>
        </is>
      </c>
      <c r="F7" s="40" t="inlineStr">
        <is>
          <t>Si / No</t>
        </is>
      </c>
      <c r="G7" s="41" t="n"/>
    </row>
    <row r="8" ht="21.75" customHeight="1" s="10">
      <c r="B8" s="37" t="inlineStr">
        <is>
          <t>A3 - Busqueda Lineal</t>
        </is>
      </c>
      <c r="C8" s="38" t="inlineStr">
        <is>
          <t>Iterativo</t>
        </is>
      </c>
      <c r="D8" s="39" t="inlineStr">
        <is>
          <t>(escribe aqui)</t>
        </is>
      </c>
      <c r="E8" s="37" t="inlineStr">
        <is>
          <t>O(n)</t>
        </is>
      </c>
      <c r="F8" s="40" t="inlineStr">
        <is>
          <t>Si / No</t>
        </is>
      </c>
      <c r="G8" s="41" t="n"/>
    </row>
    <row r="9" ht="21.75" customHeight="1" s="10">
      <c r="B9" s="42" t="inlineStr">
        <is>
          <t>A3 - Busqueda Lineal</t>
        </is>
      </c>
      <c r="C9" s="43" t="inlineStr">
        <is>
          <t>Recursivo</t>
        </is>
      </c>
      <c r="D9" s="39" t="inlineStr">
        <is>
          <t>(escribe aqui)</t>
        </is>
      </c>
      <c r="E9" s="42" t="inlineStr">
        <is>
          <t>O(n)</t>
        </is>
      </c>
      <c r="F9" s="40" t="inlineStr">
        <is>
          <t>Si / No</t>
        </is>
      </c>
      <c r="G9" s="41" t="n"/>
    </row>
    <row r="10" ht="21.75" customHeight="1" s="10">
      <c r="B10" s="37" t="inlineStr">
        <is>
          <t>A4 - Burbuja</t>
        </is>
      </c>
      <c r="C10" s="38" t="inlineStr">
        <is>
          <t>Iterativo</t>
        </is>
      </c>
      <c r="D10" s="39" t="inlineStr">
        <is>
          <t>(escribe aqui)</t>
        </is>
      </c>
      <c r="E10" s="37" t="inlineStr">
        <is>
          <t>O(n^2)</t>
        </is>
      </c>
      <c r="F10" s="40" t="inlineStr">
        <is>
          <t>Si / No</t>
        </is>
      </c>
      <c r="G10" s="41" t="n"/>
    </row>
    <row r="11" ht="21.75" customHeight="1" s="10">
      <c r="B11" s="42" t="inlineStr">
        <is>
          <t>A4 - Burbuja</t>
        </is>
      </c>
      <c r="C11" s="43" t="inlineStr">
        <is>
          <t>Recursivo</t>
        </is>
      </c>
      <c r="D11" s="39" t="inlineStr">
        <is>
          <t>(escribe aqui)</t>
        </is>
      </c>
      <c r="E11" s="42" t="inlineStr">
        <is>
          <t>O(n^2)</t>
        </is>
      </c>
      <c r="F11" s="40" t="inlineStr">
        <is>
          <t>Si / No</t>
        </is>
      </c>
      <c r="G11" s="41" t="n"/>
    </row>
    <row r="14" ht="7.5" customHeight="1" s="10"/>
    <row r="15" ht="15" customHeight="1" s="10">
      <c r="B15" s="4" t="inlineStr">
        <is>
          <t>Guia para interpretar tus graficas:</t>
        </is>
      </c>
      <c r="C15" s="45" t="n"/>
      <c r="D15" s="45" t="n"/>
      <c r="E15" s="45" t="n"/>
      <c r="F15" s="45" t="n"/>
      <c r="G15" s="45" t="n"/>
    </row>
    <row r="16" ht="19.5" customHeight="1" s="10">
      <c r="B16" s="17" t="inlineStr">
        <is>
          <t>Linea recta en grafica</t>
        </is>
      </c>
      <c r="C16" s="3" t="inlineStr">
        <is>
          <t>→  Big-O es probablemente O(1) o O(n)</t>
        </is>
      </c>
      <c r="D16" s="45" t="n"/>
      <c r="E16" s="45" t="n"/>
      <c r="F16" s="45" t="n"/>
      <c r="G16" s="45" t="n"/>
    </row>
    <row r="17" ht="19.5" customHeight="1" s="10">
      <c r="B17" s="22" t="inlineStr">
        <is>
          <t>Curva suave ascendente</t>
        </is>
      </c>
      <c r="C17" s="2" t="inlineStr">
        <is>
          <t>→  Big-O es probablemente O(n) o O(log n)</t>
        </is>
      </c>
      <c r="D17" s="45" t="n"/>
      <c r="E17" s="45" t="n"/>
      <c r="F17" s="45" t="n"/>
      <c r="G17" s="45" t="n"/>
    </row>
    <row r="18" ht="19.5" customHeight="1" s="10">
      <c r="B18" s="17" t="inlineStr">
        <is>
          <t>Curva que sube rapido</t>
        </is>
      </c>
      <c r="C18" s="3" t="inlineStr">
        <is>
          <t>→  Big-O es probablemente O(n^2)</t>
        </is>
      </c>
      <c r="D18" s="45" t="n"/>
      <c r="E18" s="45" t="n"/>
      <c r="F18" s="45" t="n"/>
      <c r="G18" s="45" t="n"/>
    </row>
    <row r="19" ht="19.5" customHeight="1" s="10">
      <c r="B19" s="44" t="inlineStr">
        <is>
          <t>Curva que explota (vertical)</t>
        </is>
      </c>
      <c r="C19" s="1" t="inlineStr">
        <is>
          <t>→  Big-O es probablemente O(2^n)</t>
        </is>
      </c>
      <c r="D19" s="45" t="n"/>
      <c r="E19" s="45" t="n"/>
      <c r="F19" s="45" t="n"/>
      <c r="G19" s="45" t="n"/>
    </row>
  </sheetData>
  <mergeCells count="6">
    <mergeCell ref="C16:G16"/>
    <mergeCell ref="B1:G1"/>
    <mergeCell ref="C19:G19"/>
    <mergeCell ref="C18:G18"/>
    <mergeCell ref="B15:G15"/>
    <mergeCell ref="C17:G1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2026-02-20T06:55:59Z</dcterms:created>
  <dcterms:modified xmlns:dcterms="http://purl.org/dc/terms/" xmlns:xsi="http://www.w3.org/2001/XMLSchema-instance" xsi:type="dcterms:W3CDTF">2026-03-04T02:14:52Z</dcterms:modified>
  <cp:lastModifiedBy>Chitay Coutiño, Brandon Antony</cp:lastModifiedBy>
  <cp:revision>1</cp:revision>
</cp:coreProperties>
</file>